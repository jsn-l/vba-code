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lee\Desktop\"/>
    </mc:Choice>
  </mc:AlternateContent>
  <xr:revisionPtr revIDLastSave="0" documentId="8_{499A7161-40AA-450A-A8D8-9335A06240BE}" xr6:coauthVersionLast="45" xr6:coauthVersionMax="45" xr10:uidLastSave="{00000000-0000-0000-0000-000000000000}"/>
  <bookViews>
    <workbookView xWindow="-109" yWindow="-109" windowWidth="26301" windowHeight="14427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2" i="1" l="1"/>
  <c r="J31" i="1"/>
  <c r="J30" i="1"/>
  <c r="J29" i="1"/>
  <c r="J28" i="1"/>
  <c r="J27" i="1"/>
  <c r="J26" i="1"/>
  <c r="I32" i="1"/>
  <c r="I31" i="1"/>
  <c r="I30" i="1"/>
  <c r="I29" i="1"/>
  <c r="I28" i="1"/>
  <c r="I27" i="1"/>
  <c r="I26" i="1"/>
  <c r="H32" i="1" a="1"/>
  <c r="H32" i="1" s="1"/>
  <c r="H31" i="1" a="1"/>
  <c r="H31" i="1" s="1"/>
  <c r="H30" i="1" a="1"/>
  <c r="H30" i="1" s="1"/>
  <c r="H29" i="1" a="1"/>
  <c r="H29" i="1" s="1"/>
  <c r="H28" i="1" a="1"/>
  <c r="H28" i="1" s="1"/>
  <c r="H27" i="1" a="1"/>
  <c r="H27" i="1" s="1"/>
  <c r="H26" i="1" a="1"/>
  <c r="H26" i="1" s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22" i="1" a="1"/>
  <c r="H22" i="1" s="1"/>
  <c r="H21" i="1" a="1"/>
  <c r="H21" i="1" s="1"/>
  <c r="H20" i="1" a="1"/>
  <c r="H20" i="1" s="1"/>
  <c r="H19" i="1" a="1"/>
  <c r="H19" i="1" s="1"/>
  <c r="H18" i="1" a="1"/>
  <c r="H18" i="1" s="1"/>
  <c r="H17" i="1" a="1"/>
  <c r="H17" i="1" s="1"/>
  <c r="H16" i="1" a="1"/>
  <c r="H16" i="1" s="1"/>
  <c r="H15" i="1" a="1"/>
  <c r="H15" i="1" s="1"/>
  <c r="H14" i="1" a="1"/>
  <c r="H14" i="1" s="1"/>
  <c r="H13" i="1" a="1"/>
  <c r="H13" i="1" s="1"/>
  <c r="H12" i="1" a="1"/>
  <c r="H12" i="1" s="1"/>
  <c r="H11" i="1" a="1"/>
  <c r="H11" i="1" s="1"/>
  <c r="H10" i="1" a="1"/>
  <c r="H10" i="1" s="1"/>
  <c r="H9" i="1" a="1"/>
  <c r="H9" i="1" s="1"/>
  <c r="H8" i="1" a="1"/>
  <c r="H8" i="1" s="1"/>
  <c r="H7" i="1" a="1"/>
  <c r="H7" i="1" s="1"/>
  <c r="H6" i="1" a="1"/>
  <c r="H6" i="1" s="1"/>
  <c r="H5" i="1" a="1"/>
  <c r="H5" i="1" s="1"/>
  <c r="H4" i="1" a="1"/>
  <c r="H4" i="1" s="1"/>
  <c r="H3" i="1" a="1"/>
  <c r="H3" i="1" s="1"/>
  <c r="H2" i="1" a="1"/>
  <c r="H2" i="1" s="1"/>
  <c r="Q32" i="1"/>
  <c r="Q31" i="1"/>
  <c r="Q30" i="1"/>
  <c r="Q29" i="1"/>
  <c r="Q28" i="1"/>
  <c r="Q27" i="1"/>
  <c r="Q26" i="1"/>
  <c r="P32" i="1"/>
  <c r="P31" i="1"/>
  <c r="P30" i="1"/>
  <c r="P29" i="1"/>
  <c r="P28" i="1"/>
  <c r="P27" i="1"/>
  <c r="P26" i="1"/>
  <c r="O32" i="1" a="1"/>
  <c r="O32" i="1" s="1"/>
  <c r="O31" i="1" a="1"/>
  <c r="O31" i="1" s="1"/>
  <c r="O30" i="1" a="1"/>
  <c r="O30" i="1" s="1"/>
  <c r="O29" i="1" a="1"/>
  <c r="O29" i="1" s="1"/>
  <c r="O28" i="1" a="1"/>
  <c r="O28" i="1" s="1"/>
  <c r="O27" i="1" a="1"/>
  <c r="O27" i="1" s="1"/>
  <c r="O26" i="1" a="1"/>
  <c r="O26" i="1" s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5" i="1" a="1"/>
  <c r="O5" i="1" s="1"/>
  <c r="O4" i="1" a="1"/>
  <c r="O4" i="1" s="1"/>
  <c r="O3" i="1" a="1"/>
  <c r="O3" i="1" s="1"/>
  <c r="O2" i="1" a="1"/>
  <c r="O2" i="1" s="1"/>
  <c r="H39" i="1" l="1" a="1"/>
  <c r="H39" i="1" s="1"/>
  <c r="O39" i="1" a="1"/>
  <c r="O39" i="1" s="1"/>
  <c r="P36" i="1"/>
  <c r="P35" i="1"/>
  <c r="I36" i="1"/>
  <c r="I35" i="1"/>
  <c r="P39" i="1"/>
  <c r="I39" i="1"/>
  <c r="Q35" i="1"/>
  <c r="J39" i="1"/>
  <c r="Q39" i="1"/>
  <c r="J35" i="1"/>
  <c r="R25" i="1"/>
  <c r="Q36" i="1"/>
  <c r="J36" i="1"/>
  <c r="K25" i="1" l="1"/>
  <c r="O36" i="1" l="1" a="1"/>
  <c r="O36" i="1" s="1"/>
  <c r="R36" i="1" s="1"/>
  <c r="O35" i="1" a="1"/>
  <c r="O35" i="1" s="1"/>
  <c r="M32" i="1"/>
  <c r="M31" i="1"/>
  <c r="M30" i="1"/>
  <c r="M29" i="1"/>
  <c r="M28" i="1"/>
  <c r="M27" i="1"/>
  <c r="M26" i="1"/>
  <c r="M25" i="1"/>
  <c r="H36" i="1" a="1"/>
  <c r="H36" i="1" s="1"/>
  <c r="K36" i="1" s="1"/>
  <c r="H35" i="1" a="1"/>
  <c r="H35" i="1" s="1"/>
  <c r="K35" i="1" s="1"/>
  <c r="F32" i="1"/>
  <c r="F31" i="1"/>
  <c r="F30" i="1"/>
  <c r="F29" i="1"/>
  <c r="F28" i="1"/>
  <c r="F27" i="1"/>
  <c r="F26" i="1"/>
  <c r="F2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2" i="1"/>
  <c r="R14" i="1" l="1"/>
  <c r="R15" i="1"/>
  <c r="K15" i="1"/>
  <c r="R4" i="1"/>
  <c r="K5" i="1"/>
  <c r="K3" i="1"/>
  <c r="K11" i="1"/>
  <c r="R11" i="1"/>
  <c r="R16" i="1"/>
  <c r="K6" i="1"/>
  <c r="R12" i="1"/>
  <c r="K13" i="1"/>
  <c r="R13" i="1"/>
  <c r="R8" i="1"/>
  <c r="R32" i="1"/>
  <c r="R21" i="1"/>
  <c r="R31" i="1"/>
  <c r="R30" i="1"/>
  <c r="R29" i="1"/>
  <c r="R28" i="1"/>
  <c r="R27" i="1"/>
  <c r="R26" i="1"/>
  <c r="R5" i="1"/>
  <c r="R2" i="1"/>
  <c r="R17" i="1"/>
  <c r="R9" i="1"/>
  <c r="R6" i="1"/>
  <c r="R20" i="1"/>
  <c r="R19" i="1"/>
  <c r="R18" i="1"/>
  <c r="R22" i="1"/>
  <c r="R10" i="1"/>
  <c r="R7" i="1"/>
  <c r="R3" i="1"/>
  <c r="R39" i="1"/>
  <c r="R35" i="1"/>
  <c r="K29" i="1"/>
  <c r="K31" i="1"/>
  <c r="K28" i="1"/>
  <c r="K27" i="1"/>
  <c r="K26" i="1"/>
  <c r="K32" i="1"/>
  <c r="K30" i="1"/>
  <c r="K39" i="1"/>
  <c r="K19" i="1"/>
  <c r="K18" i="1"/>
  <c r="K17" i="1"/>
  <c r="K12" i="1"/>
  <c r="K8" i="1"/>
  <c r="K2" i="1"/>
  <c r="K21" i="1"/>
  <c r="K20" i="1"/>
  <c r="K7" i="1"/>
  <c r="K4" i="1"/>
  <c r="K14" i="1"/>
  <c r="K10" i="1"/>
  <c r="K9" i="1"/>
  <c r="K22" i="1"/>
  <c r="K16" i="1"/>
</calcChain>
</file>

<file path=xl/sharedStrings.xml><?xml version="1.0" encoding="utf-8"?>
<sst xmlns="http://schemas.openxmlformats.org/spreadsheetml/2006/main" count="34" uniqueCount="21">
  <si>
    <t>Date</t>
  </si>
  <si>
    <t>Portfolio
P&amp;L</t>
  </si>
  <si>
    <t>Combined
Portfolio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</si>
  <si>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</si>
  <si>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</si>
  <si>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</si>
  <si>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</si>
  <si>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</si>
  <si>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</si>
  <si>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</si>
  <si>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</si>
  <si>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Inception to Date</t>
  </si>
  <si>
    <t>Return</t>
  </si>
  <si>
    <t>Std Dev</t>
  </si>
  <si>
    <t>Sharpe Ratio</t>
  </si>
  <si>
    <t>Risk-Free Rate</t>
  </si>
  <si>
    <t>Avg Rf</t>
  </si>
  <si>
    <t>Combined Portfolio</t>
  </si>
  <si>
    <t>Portfolio (without hedge)</t>
  </si>
  <si>
    <t>Monthly Rf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</si>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</sst>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000000%"/>
    <numFmt numFmtId="166" formatCode="0.00000000%"/>
  </numFmts>
  <fonts count="6" x14ac:knownFonts="1"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8"/>
      <color theme="1"/>
      <name val="Consolas"/>
      <family val="3"/>
    </font>
    <font>
      <b/>
      <sz val="8"/>
      <color theme="1"/>
      <name val="Consolas"/>
      <family val="3"/>
    </font>
    <font>
      <sz val="8"/>
      <name val="Consolas"/>
      <family val="3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4" fontId="4" fillId="0" borderId="0" xfId="0" applyNumberFormat="1" applyFont="1"/>
    <xf numFmtId="10" fontId="4" fillId="5" borderId="0" xfId="1" applyNumberFormat="1" applyFont="1" applyFill="1"/>
    <xf numFmtId="10" fontId="4" fillId="6" borderId="0" xfId="0" applyNumberFormat="1" applyFont="1" applyFill="1"/>
    <xf numFmtId="10" fontId="4" fillId="7" borderId="0" xfId="0" applyNumberFormat="1" applyFont="1" applyFill="1"/>
    <xf numFmtId="0" fontId="4" fillId="0" borderId="0" xfId="0" applyFont="1"/>
    <xf numFmtId="0" fontId="2" fillId="0" borderId="0" xfId="0" applyFont="1"/>
    <xf numFmtId="17" fontId="2" fillId="0" borderId="0" xfId="0" applyNumberFormat="1" applyFont="1" applyAlignment="1">
      <alignment horizontal="right"/>
    </xf>
    <xf numFmtId="10" fontId="2" fillId="0" borderId="0" xfId="1" applyNumberFormat="1" applyFont="1"/>
    <xf numFmtId="10" fontId="2" fillId="8" borderId="0" xfId="1" applyNumberFormat="1" applyFont="1" applyFill="1"/>
    <xf numFmtId="0" fontId="3" fillId="8" borderId="0" xfId="0" applyFont="1" applyFill="1" applyAlignment="1">
      <alignment horizontal="center" vertical="center" wrapText="1"/>
    </xf>
    <xf numFmtId="17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7" fontId="2" fillId="0" borderId="1" xfId="0" applyNumberFormat="1" applyFont="1" applyBorder="1" applyAlignment="1">
      <alignment horizontal="right"/>
    </xf>
    <xf numFmtId="10" fontId="2" fillId="0" borderId="1" xfId="1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164" fontId="2" fillId="0" borderId="0" xfId="1" applyNumberFormat="1" applyFont="1"/>
    <xf numFmtId="165" fontId="2" fillId="0" borderId="0" xfId="1" applyNumberFormat="1" applyFont="1"/>
    <xf numFmtId="166" fontId="2" fillId="0" borderId="0" xfId="1" applyNumberFormat="1" applyFont="1"/>
    <xf numFmtId="10" fontId="2" fillId="0" borderId="1" xfId="0" applyNumberFormat="1" applyFont="1" applyBorder="1" applyAlignment="1">
      <alignment horizontal="center" vertical="center"/>
    </xf>
    <xf numFmtId="10" fontId="2" fillId="0" borderId="0" xfId="1" applyNumberFormat="1" applyFont="1" applyAlignment="1">
      <alignment horizontal="center" vertical="center"/>
    </xf>
    <xf numFmtId="17" fontId="2" fillId="9" borderId="0" xfId="0" applyNumberFormat="1" applyFont="1" applyFill="1" applyAlignment="1">
      <alignment horizontal="right"/>
    </xf>
    <xf numFmtId="0" fontId="2" fillId="9" borderId="1" xfId="0" applyFont="1" applyFill="1" applyBorder="1" applyAlignment="1">
      <alignment horizontal="right"/>
    </xf>
    <xf numFmtId="10" fontId="2" fillId="9" borderId="1" xfId="1" applyNumberFormat="1" applyFont="1" applyFill="1" applyBorder="1" applyAlignment="1">
      <alignment horizontal="center" vertical="center"/>
    </xf>
    <xf numFmtId="2" fontId="2" fillId="9" borderId="1" xfId="0" applyNumberFormat="1" applyFont="1" applyFill="1" applyBorder="1" applyAlignment="1">
      <alignment horizontal="center" vertical="center"/>
    </xf>
    <xf numFmtId="0" fontId="2" fillId="9" borderId="0" xfId="0" applyFont="1" applyFill="1"/>
  </cellXfs>
  <cellStyles count="3">
    <cellStyle name="Normal" xfId="0" builtinId="0" customBuiltin="1"/>
    <cellStyle name="Percent" xfId="1" builtinId="5"/>
    <cellStyle name="Percent 11" xfId="2" xr:uid="{2A58C51E-AF51-4BC9-A3B7-7685E474AFE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526211</xdr:colOff>
          <xdr:row>0</xdr:row>
          <xdr:rowOff>172528</xdr:rowOff>
        </xdr:from>
        <xdr:to>
          <xdr:col>23</xdr:col>
          <xdr:colOff>276045</xdr:colOff>
          <xdr:row>3</xdr:row>
          <xdr:rowOff>25879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Combined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422694</xdr:colOff>
          <xdr:row>0</xdr:row>
          <xdr:rowOff>155275</xdr:rowOff>
        </xdr:from>
        <xdr:to>
          <xdr:col>25</xdr:col>
          <xdr:colOff>163902</xdr:colOff>
          <xdr:row>3</xdr:row>
          <xdr:rowOff>17253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Portfolio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Russell">
      <a:dk1>
        <a:sysClr val="windowText" lastClr="000000"/>
      </a:dk1>
      <a:lt1>
        <a:sysClr val="window" lastClr="FFFFFF"/>
      </a:lt1>
      <a:dk2>
        <a:srgbClr val="996633"/>
      </a:dk2>
      <a:lt2>
        <a:srgbClr val="C7C1BB"/>
      </a:lt2>
      <a:accent1>
        <a:srgbClr val="66AADD"/>
      </a:accent1>
      <a:accent2>
        <a:srgbClr val="5F5F5F"/>
      </a:accent2>
      <a:accent3>
        <a:srgbClr val="003399"/>
      </a:accent3>
      <a:accent4>
        <a:srgbClr val="DD6600"/>
      </a:accent4>
      <a:accent5>
        <a:srgbClr val="969696"/>
      </a:accent5>
      <a:accent6>
        <a:srgbClr val="CCCCAA"/>
      </a:accent6>
      <a:hlink>
        <a:srgbClr val="003399"/>
      </a:hlink>
      <a:folHlink>
        <a:srgbClr val="DD6600"/>
      </a:folHlink>
    </a:clrScheme>
    <a:fontScheme name="Russel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54"/>
  <sheetViews>
    <sheetView tabSelected="1" workbookViewId="0">
      <selection activeCell="N22" sqref="N22"/>
    </sheetView>
  </sheetViews>
  <sheetFormatPr defaultColWidth="9.125" defaultRowHeight="10.9" x14ac:dyDescent="0.2"/>
  <cols>
    <col min="1" max="1" width="9.625" style="9" bestFit="1" customWidth="1"/>
    <col min="2" max="4" width="8.75" style="9" bestFit="1" customWidth="1"/>
    <col min="5" max="5" width="9.125" style="12"/>
    <col min="6" max="6" width="13.75" style="10" customWidth="1"/>
    <col min="7" max="7" width="15.125" style="10" bestFit="1" customWidth="1"/>
    <col min="8" max="9" width="7" style="16" bestFit="1" customWidth="1"/>
    <col min="10" max="10" width="6.125" style="16" bestFit="1" customWidth="1"/>
    <col min="11" max="11" width="11.75" style="16" customWidth="1"/>
    <col min="12" max="12" width="9.125" style="10"/>
    <col min="13" max="13" width="7" style="10" customWidth="1"/>
    <col min="14" max="14" width="15.75" style="10" bestFit="1" customWidth="1"/>
    <col min="15" max="16" width="8.375" style="16" customWidth="1"/>
    <col min="17" max="17" width="8.75" style="16" customWidth="1"/>
    <col min="18" max="18" width="11.375" style="16" customWidth="1"/>
    <col min="19" max="21" width="9.125" style="10"/>
    <col min="22" max="23" width="10.375" style="10" bestFit="1" customWidth="1"/>
    <col min="24" max="16384" width="9.125" style="10"/>
  </cols>
  <sheetData>
    <row r="1" spans="1:24" ht="21.75" x14ac:dyDescent="0.2">
      <c r="A1" s="1" t="s">
        <v>0</v>
      </c>
      <c r="B1" s="2" t="s">
        <v>1</v>
      </c>
      <c r="C1" s="4" t="s">
        <v>2</v>
      </c>
      <c r="D1" s="3" t="s">
        <v>15</v>
      </c>
      <c r="E1" s="14" t="s">
        <v>19</v>
      </c>
      <c r="G1" s="25" t="s">
        <v>18</v>
      </c>
      <c r="H1" s="18" t="s">
        <v>12</v>
      </c>
      <c r="I1" s="18" t="s">
        <v>13</v>
      </c>
      <c r="J1" s="18" t="s">
        <v>16</v>
      </c>
      <c r="K1" s="19" t="s">
        <v>14</v>
      </c>
      <c r="N1" s="17" t="s">
        <v>17</v>
      </c>
      <c r="O1" s="18" t="s">
        <v>12</v>
      </c>
      <c r="P1" s="18" t="s">
        <v>13</v>
      </c>
      <c r="Q1" s="18" t="s">
        <v>16</v>
      </c>
      <c r="R1" s="19" t="s">
        <v>14</v>
      </c>
    </row>
    <row r="2" spans="1:24" x14ac:dyDescent="0.2">
      <c r="A2" s="5">
        <v>42810</v>
      </c>
      <c r="B2" s="6">
        <v>0</v>
      </c>
      <c r="C2" s="8">
        <v>0</v>
      </c>
      <c r="D2" s="7">
        <v>-3.29E-3</v>
      </c>
      <c r="E2" s="13">
        <f>D2*(1/12)</f>
        <v>-2.7416666666666664E-4</v>
      </c>
      <c r="F2" s="26"/>
      <c r="G2" s="20">
        <v>42825</v>
      </c>
      <c r="H2" s="21">
        <f t="array" ref="H2">PRODUCT(1+B2:B13)-1</f>
        <v>9.4945636595904492E-3</v>
      </c>
      <c r="I2" s="21">
        <f>_xlfn.STDEV.S(B2:B13)*SQRT(20)</f>
        <v>1.4945246127797497E-2</v>
      </c>
      <c r="J2" s="29">
        <f>AVERAGE(E2:E13)</f>
        <v>-2.746527777777778E-4</v>
      </c>
      <c r="K2" s="22">
        <f>(H2-J2)/I2</f>
        <v>0.65366714966292305</v>
      </c>
      <c r="N2" s="20">
        <v>42825</v>
      </c>
      <c r="O2" s="21">
        <f t="array" ref="O2">PRODUCT(1+C2:C13)-1</f>
        <v>5.7154183228254052E-3</v>
      </c>
      <c r="P2" s="21">
        <f>_xlfn.STDEV.S(C2:C13)*SQRT(20)</f>
        <v>1.0508177131787866E-2</v>
      </c>
      <c r="Q2" s="21">
        <f>AVERAGE(E2:E13)</f>
        <v>-2.746527777777778E-4</v>
      </c>
      <c r="R2" s="22">
        <f>(O2-Q2)/P2</f>
        <v>0.5700390301266296</v>
      </c>
    </row>
    <row r="3" spans="1:24" x14ac:dyDescent="0.2">
      <c r="A3" s="5">
        <v>42811</v>
      </c>
      <c r="B3" s="6">
        <v>1.7195390328061944E-3</v>
      </c>
      <c r="C3" s="8">
        <v>1.7020454737085495E-3</v>
      </c>
      <c r="D3" s="7">
        <v>-3.29E-3</v>
      </c>
      <c r="E3" s="13">
        <f t="shared" ref="E3:E66" si="0">D3*(1/12)</f>
        <v>-2.7416666666666664E-4</v>
      </c>
      <c r="G3" s="20">
        <v>42855</v>
      </c>
      <c r="H3" s="21">
        <f t="array" ref="H3">PRODUCT(1+B14:B33)-1</f>
        <v>1.8819216742288258E-2</v>
      </c>
      <c r="I3" s="21">
        <f>_xlfn.STDEV.S(B14:B33)*SQRT(20)</f>
        <v>1.5198865797118872E-2</v>
      </c>
      <c r="J3" s="29">
        <f>AVERAGE(E14:E33)</f>
        <v>-2.7537499999999996E-4</v>
      </c>
      <c r="K3" s="22">
        <f t="shared" ref="K3:K32" si="1">(H3-J3)/I3</f>
        <v>1.2563168855604916</v>
      </c>
      <c r="N3" s="20">
        <v>42855</v>
      </c>
      <c r="O3" s="21">
        <f t="array" ref="O3">PRODUCT(1+C14:C33)-1</f>
        <v>1.6959112417703981E-2</v>
      </c>
      <c r="P3" s="21">
        <f>_xlfn.STDEV.S(C14:C33)*SQRT(20)</f>
        <v>1.281559221256539E-2</v>
      </c>
      <c r="Q3" s="21">
        <f>AVERAGE(E14:E33)</f>
        <v>-2.7537499999999996E-4</v>
      </c>
      <c r="R3" s="22">
        <f t="shared" ref="R3:R32" si="2">(O3-Q3)/P3</f>
        <v>1.3448061651654279</v>
      </c>
    </row>
    <row r="4" spans="1:24" x14ac:dyDescent="0.2">
      <c r="A4" s="5">
        <v>42814</v>
      </c>
      <c r="B4" s="6">
        <v>-2.4275339495394288E-4</v>
      </c>
      <c r="C4" s="8">
        <v>-2.9917449996959121E-4</v>
      </c>
      <c r="D4" s="7">
        <v>-3.29E-3</v>
      </c>
      <c r="E4" s="13">
        <f t="shared" si="0"/>
        <v>-2.7416666666666664E-4</v>
      </c>
      <c r="G4" s="20">
        <v>42886</v>
      </c>
      <c r="H4" s="21">
        <f t="array" ref="H4">PRODUCT(1+B34:B56)-1</f>
        <v>1.4349914528135166E-2</v>
      </c>
      <c r="I4" s="21">
        <f>_xlfn.STDEV.S(B34:B56)*SQRT(20)</f>
        <v>1.7459054596453069E-2</v>
      </c>
      <c r="J4" s="29">
        <f>AVERAGE(E34:E56)</f>
        <v>-2.745289855072463E-4</v>
      </c>
      <c r="K4" s="22">
        <f t="shared" si="1"/>
        <v>0.83764234958137262</v>
      </c>
      <c r="N4" s="20">
        <v>42886</v>
      </c>
      <c r="O4" s="21">
        <f t="array" ref="O4">PRODUCT(1+C34:C56)-1</f>
        <v>1.4349914528135166E-2</v>
      </c>
      <c r="P4" s="21">
        <f>_xlfn.STDEV.S(C34:C56)*SQRT(20)</f>
        <v>1.7459054596453069E-2</v>
      </c>
      <c r="Q4" s="21">
        <f>AVERAGE(E34:E56)</f>
        <v>-2.745289855072463E-4</v>
      </c>
      <c r="R4" s="22">
        <f t="shared" si="2"/>
        <v>0.83764234958137262</v>
      </c>
    </row>
    <row r="5" spans="1:24" x14ac:dyDescent="0.2">
      <c r="A5" s="5">
        <v>42815</v>
      </c>
      <c r="B5" s="6">
        <v>-5.0431357711033797E-3</v>
      </c>
      <c r="C5" s="8">
        <v>-3.6719421348252938E-3</v>
      </c>
      <c r="D5" s="7">
        <v>-3.29E-3</v>
      </c>
      <c r="E5" s="13">
        <f t="shared" si="0"/>
        <v>-2.7416666666666664E-4</v>
      </c>
      <c r="G5" s="20">
        <v>42916</v>
      </c>
      <c r="H5" s="21">
        <f t="array" ref="H5">PRODUCT(1+B57:B78)-1</f>
        <v>-1.6136542459126657E-2</v>
      </c>
      <c r="I5" s="21">
        <f>_xlfn.STDEV.S(B57:B78)*SQRT(20)</f>
        <v>1.8562052926243931E-2</v>
      </c>
      <c r="J5" s="29">
        <f>AVERAGE(E57:E78)</f>
        <v>-2.7500000000000002E-4</v>
      </c>
      <c r="K5" s="22">
        <f t="shared" si="1"/>
        <v>-0.85451445064574927</v>
      </c>
      <c r="N5" s="20">
        <v>42916</v>
      </c>
      <c r="O5" s="21">
        <f t="array" ref="O5">PRODUCT(1+C57:C78)-1</f>
        <v>-1.6136542459126657E-2</v>
      </c>
      <c r="P5" s="21">
        <f>_xlfn.STDEV.S(C57:C78)*SQRT(20)</f>
        <v>1.8562052926243931E-2</v>
      </c>
      <c r="Q5" s="21">
        <f>AVERAGE(E57:E78)</f>
        <v>-2.7500000000000002E-4</v>
      </c>
      <c r="R5" s="22">
        <f t="shared" si="2"/>
        <v>-0.85451445064574927</v>
      </c>
    </row>
    <row r="6" spans="1:24" x14ac:dyDescent="0.2">
      <c r="A6" s="5">
        <v>42816</v>
      </c>
      <c r="B6" s="6">
        <v>-3.4388928006972019E-3</v>
      </c>
      <c r="C6" s="8">
        <v>-3.3896856317389866E-3</v>
      </c>
      <c r="D6" s="7">
        <v>-3.3E-3</v>
      </c>
      <c r="E6" s="13">
        <f t="shared" si="0"/>
        <v>-2.7499999999999996E-4</v>
      </c>
      <c r="G6" s="20">
        <v>42947</v>
      </c>
      <c r="H6" s="21">
        <f t="array" ref="H6">PRODUCT(1+B79:B99)-1</f>
        <v>-1.3003388531507287E-4</v>
      </c>
      <c r="I6" s="21">
        <f>_xlfn.STDEV.S(B79:B99)*SQRT(20)</f>
        <v>1.9715494217016728E-2</v>
      </c>
      <c r="J6" s="29">
        <f>AVERAGE(E79:E99)</f>
        <v>-2.7535714285714284E-4</v>
      </c>
      <c r="K6" s="22">
        <f t="shared" si="1"/>
        <v>7.3710177357176956E-3</v>
      </c>
      <c r="N6" s="20">
        <v>42947</v>
      </c>
      <c r="O6" s="21">
        <f t="array" ref="O6">PRODUCT(1+C79:C99)-1</f>
        <v>-1.3003388531507287E-4</v>
      </c>
      <c r="P6" s="21">
        <f>_xlfn.STDEV.S(C79:C99)*SQRT(20)</f>
        <v>1.9715494217016728E-2</v>
      </c>
      <c r="Q6" s="21">
        <f>AVERAGE(E79:E99)</f>
        <v>-2.7535714285714284E-4</v>
      </c>
      <c r="R6" s="22">
        <f t="shared" si="2"/>
        <v>7.3710177357176956E-3</v>
      </c>
    </row>
    <row r="7" spans="1:24" x14ac:dyDescent="0.2">
      <c r="A7" s="5">
        <v>42817</v>
      </c>
      <c r="B7" s="6">
        <v>5.1001612187937528E-3</v>
      </c>
      <c r="C7" s="8">
        <v>3.2697409061944807E-3</v>
      </c>
      <c r="D7" s="7">
        <v>-3.3E-3</v>
      </c>
      <c r="E7" s="13">
        <f t="shared" si="0"/>
        <v>-2.7499999999999996E-4</v>
      </c>
      <c r="G7" s="20">
        <v>42978</v>
      </c>
      <c r="H7" s="21">
        <f t="array" ref="H7">PRODUCT(1+B100:B122)-1</f>
        <v>-7.2895208754483187E-3</v>
      </c>
      <c r="I7" s="21">
        <f>_xlfn.STDEV.S(B100:B122)*SQRT(20)</f>
        <v>2.1529690507763991E-2</v>
      </c>
      <c r="J7" s="29">
        <f>AVERAGE(E100:E122)</f>
        <v>-2.7423913043478251E-4</v>
      </c>
      <c r="K7" s="22">
        <f t="shared" si="1"/>
        <v>-0.32584220114467971</v>
      </c>
      <c r="N7" s="20">
        <v>42978</v>
      </c>
      <c r="O7" s="21">
        <f t="array" ref="O7">PRODUCT(1+C100:C122)-1</f>
        <v>-9.0489430190322517E-3</v>
      </c>
      <c r="P7" s="21">
        <f>_xlfn.STDEV.S(C100:C122)*SQRT(20)</f>
        <v>2.1368169842036735E-2</v>
      </c>
      <c r="Q7" s="21">
        <f>AVERAGE(E100:E122)</f>
        <v>-2.7423913043478251E-4</v>
      </c>
      <c r="R7" s="22">
        <f t="shared" si="2"/>
        <v>-0.41064367952258363</v>
      </c>
    </row>
    <row r="8" spans="1:24" x14ac:dyDescent="0.2">
      <c r="A8" s="5">
        <v>42818</v>
      </c>
      <c r="B8" s="6">
        <v>3.9006132177998865E-5</v>
      </c>
      <c r="C8" s="8">
        <v>2.7345101764329229E-4</v>
      </c>
      <c r="D8" s="7">
        <v>-3.3E-3</v>
      </c>
      <c r="E8" s="13">
        <f t="shared" si="0"/>
        <v>-2.7499999999999996E-4</v>
      </c>
      <c r="G8" s="20">
        <v>43008</v>
      </c>
      <c r="H8" s="21">
        <f t="array" ref="H8">PRODUCT(1+B123:B143)-1</f>
        <v>3.2243135962748193E-2</v>
      </c>
      <c r="I8" s="21">
        <f>_xlfn.STDEV.S(B123:B143)*SQRT(20)</f>
        <v>1.0464153719610344E-2</v>
      </c>
      <c r="J8" s="29">
        <f>AVERAGE(E123:E143)</f>
        <v>-2.7448412698412685E-4</v>
      </c>
      <c r="K8" s="22">
        <f t="shared" si="1"/>
        <v>3.1075250766617359</v>
      </c>
      <c r="N8" s="20">
        <v>43008</v>
      </c>
      <c r="O8" s="21">
        <f t="array" ref="O8">PRODUCT(1+C123:C143)-1</f>
        <v>3.0461130197930952E-2</v>
      </c>
      <c r="P8" s="21">
        <f>_xlfn.STDEV.S(C123:C143)*SQRT(20)</f>
        <v>9.2890165878956998E-3</v>
      </c>
      <c r="Q8" s="21">
        <f>AVERAGE(E123:E143)</f>
        <v>-2.7448412698412685E-4</v>
      </c>
      <c r="R8" s="22">
        <f t="shared" si="2"/>
        <v>3.3088125135836166</v>
      </c>
    </row>
    <row r="9" spans="1:24" x14ac:dyDescent="0.2">
      <c r="A9" s="5">
        <v>42821</v>
      </c>
      <c r="B9" s="6">
        <v>-3.1271065152234101E-3</v>
      </c>
      <c r="C9" s="8">
        <v>-1.5513004490209502E-3</v>
      </c>
      <c r="D9" s="7">
        <v>-3.3E-3</v>
      </c>
      <c r="E9" s="13">
        <f t="shared" si="0"/>
        <v>-2.7499999999999996E-4</v>
      </c>
      <c r="G9" s="20">
        <v>43039</v>
      </c>
      <c r="H9" s="21">
        <f t="array" ref="H9">PRODUCT(1+B144:B165)-1</f>
        <v>1.9848246312331286E-2</v>
      </c>
      <c r="I9" s="21">
        <f>_xlfn.STDEV.S(B144:B165)*SQRT(20)</f>
        <v>1.2377235749162366E-2</v>
      </c>
      <c r="J9" s="29">
        <f>AVERAGE(E144:E165)</f>
        <v>-2.7462121212121215E-4</v>
      </c>
      <c r="K9" s="22">
        <f t="shared" si="1"/>
        <v>1.6257965778679073</v>
      </c>
      <c r="N9" s="20">
        <v>43039</v>
      </c>
      <c r="O9" s="21">
        <f t="array" ref="O9">PRODUCT(1+C144:C165)-1</f>
        <v>1.9848246312331286E-2</v>
      </c>
      <c r="P9" s="21">
        <f>_xlfn.STDEV.S(C144:C165)*SQRT(20)</f>
        <v>1.2377235749162366E-2</v>
      </c>
      <c r="Q9" s="21">
        <f>AVERAGE(E144:E165)</f>
        <v>-2.7462121212121215E-4</v>
      </c>
      <c r="R9" s="22">
        <f t="shared" si="2"/>
        <v>1.6257965778679073</v>
      </c>
      <c r="U9" s="5"/>
      <c r="V9" s="27"/>
      <c r="X9" s="5"/>
    </row>
    <row r="10" spans="1:24" x14ac:dyDescent="0.2">
      <c r="A10" s="5">
        <v>42822</v>
      </c>
      <c r="B10" s="6">
        <v>4.6610936027742245E-3</v>
      </c>
      <c r="C10" s="8">
        <v>2.4257177284249943E-3</v>
      </c>
      <c r="D10" s="7">
        <v>-3.3E-3</v>
      </c>
      <c r="E10" s="13">
        <f t="shared" si="0"/>
        <v>-2.7499999999999996E-4</v>
      </c>
      <c r="G10" s="20">
        <v>43069</v>
      </c>
      <c r="H10" s="21">
        <f t="array" ref="H10">PRODUCT(1+B166:B187)-1</f>
        <v>-1.1508440354376592E-2</v>
      </c>
      <c r="I10" s="21">
        <f>_xlfn.STDEV.S(B166:B187)*SQRT(20)</f>
        <v>1.748084232202585E-2</v>
      </c>
      <c r="J10" s="29">
        <f>AVERAGE(E166:E187)</f>
        <v>-2.7416666666666654E-4</v>
      </c>
      <c r="K10" s="22">
        <f t="shared" si="1"/>
        <v>-0.64266203428622815</v>
      </c>
      <c r="N10" s="20">
        <v>43069</v>
      </c>
      <c r="O10" s="21">
        <f t="array" ref="O10">PRODUCT(1+C166:C187)-1</f>
        <v>-1.8358307146002839E-2</v>
      </c>
      <c r="P10" s="21">
        <f>_xlfn.STDEV.S(C166:C187)*SQRT(20)</f>
        <v>1.3923052299094111E-2</v>
      </c>
      <c r="Q10" s="21">
        <f>AVERAGE(E166:E187)</f>
        <v>-2.7416666666666654E-4</v>
      </c>
      <c r="R10" s="22">
        <f t="shared" si="2"/>
        <v>-1.2988632155402304</v>
      </c>
      <c r="U10" s="5"/>
      <c r="V10" s="27"/>
    </row>
    <row r="11" spans="1:24" x14ac:dyDescent="0.2">
      <c r="A11" s="5">
        <v>42823</v>
      </c>
      <c r="B11" s="6">
        <v>3.4191902967455334E-3</v>
      </c>
      <c r="C11" s="8">
        <v>1.9275257627266245E-3</v>
      </c>
      <c r="D11" s="7">
        <v>-3.3E-3</v>
      </c>
      <c r="E11" s="13">
        <f t="shared" si="0"/>
        <v>-2.7499999999999996E-4</v>
      </c>
      <c r="G11" s="20">
        <v>43100</v>
      </c>
      <c r="H11" s="21">
        <f t="array" ref="H11">PRODUCT(1+B188:B208)-1</f>
        <v>7.8364708129090577E-3</v>
      </c>
      <c r="I11" s="21">
        <f>_xlfn.STDEV.S(B188:B208)*SQRT(20)</f>
        <v>1.4916141414103773E-2</v>
      </c>
      <c r="J11" s="29">
        <f>AVERAGE(E188:E208)</f>
        <v>-2.7333333333333322E-4</v>
      </c>
      <c r="K11" s="22">
        <f t="shared" si="1"/>
        <v>0.54369316575225457</v>
      </c>
      <c r="N11" s="20">
        <v>43100</v>
      </c>
      <c r="O11" s="21">
        <f t="array" ref="O11">PRODUCT(1+C188:C208)-1</f>
        <v>5.6838132313832279E-3</v>
      </c>
      <c r="P11" s="21">
        <f>_xlfn.STDEV.S(C188:C208)*SQRT(20)</f>
        <v>8.2383198228436188E-3</v>
      </c>
      <c r="Q11" s="21">
        <f>AVERAGE(E188:E208)</f>
        <v>-2.7333333333333322E-4</v>
      </c>
      <c r="R11" s="22">
        <f t="shared" si="2"/>
        <v>0.7231021243188801</v>
      </c>
      <c r="U11" s="5"/>
      <c r="V11" s="27"/>
      <c r="W11" s="28"/>
    </row>
    <row r="12" spans="1:24" x14ac:dyDescent="0.2">
      <c r="A12" s="5">
        <v>42824</v>
      </c>
      <c r="B12" s="6">
        <v>3.5679532672960868E-3</v>
      </c>
      <c r="C12" s="8">
        <v>2.4391108259243588E-3</v>
      </c>
      <c r="D12" s="7">
        <v>-3.3E-3</v>
      </c>
      <c r="E12" s="13">
        <f t="shared" si="0"/>
        <v>-2.7499999999999996E-4</v>
      </c>
      <c r="G12" s="20">
        <v>43131</v>
      </c>
      <c r="H12" s="21">
        <f t="array" ref="H12">PRODUCT(1+B209:B231)-1</f>
        <v>2.0939342842078323E-2</v>
      </c>
      <c r="I12" s="21">
        <f>_xlfn.STDEV.S(B209:B231)*SQRT(20)</f>
        <v>1.8290848482658252E-2</v>
      </c>
      <c r="J12" s="29">
        <f>AVERAGE(E209:E231)</f>
        <v>-2.7373188405797113E-4</v>
      </c>
      <c r="K12" s="22">
        <f t="shared" si="1"/>
        <v>1.1597643896207788</v>
      </c>
      <c r="N12" s="20">
        <v>43131</v>
      </c>
      <c r="O12" s="21">
        <f t="array" ref="O12">PRODUCT(1+C209:C231)-1</f>
        <v>1.1140335131225143E-2</v>
      </c>
      <c r="P12" s="21">
        <f>_xlfn.STDEV.S(C209:C231)*SQRT(20)</f>
        <v>1.4714083834362355E-2</v>
      </c>
      <c r="Q12" s="21">
        <f>AVERAGE(E209:E231)</f>
        <v>-2.7373188405797113E-4</v>
      </c>
      <c r="R12" s="22">
        <f t="shared" si="2"/>
        <v>0.77572393522914518</v>
      </c>
      <c r="U12" s="5"/>
      <c r="V12" s="27"/>
      <c r="X12" s="5"/>
    </row>
    <row r="13" spans="1:24" x14ac:dyDescent="0.2">
      <c r="A13" s="5">
        <v>42825</v>
      </c>
      <c r="B13" s="6">
        <v>2.859866026166058E-3</v>
      </c>
      <c r="C13" s="8">
        <v>2.6053924400818518E-3</v>
      </c>
      <c r="D13" s="7">
        <v>-3.29E-3</v>
      </c>
      <c r="E13" s="13">
        <f t="shared" si="0"/>
        <v>-2.7416666666666664E-4</v>
      </c>
      <c r="G13" s="20">
        <v>43159</v>
      </c>
      <c r="H13" s="21">
        <f t="array" ref="H13">PRODUCT(1+B232:B251)-1</f>
        <v>-3.0297295220949483E-2</v>
      </c>
      <c r="I13" s="21">
        <f>_xlfn.STDEV.S(B232:B251)*SQRT(20)</f>
        <v>3.9205659837780342E-2</v>
      </c>
      <c r="J13" s="29">
        <f>AVERAGE(E232:E251)</f>
        <v>-2.7375000000000001E-4</v>
      </c>
      <c r="K13" s="22">
        <f t="shared" si="1"/>
        <v>-0.76579619741579863</v>
      </c>
      <c r="N13" s="20">
        <v>43159</v>
      </c>
      <c r="O13" s="21">
        <f t="array" ref="O13">PRODUCT(1+C232:C251)-1</f>
        <v>-2.1271374403144638E-2</v>
      </c>
      <c r="P13" s="21">
        <f>_xlfn.STDEV.S(C232:C251)*SQRT(20)</f>
        <v>1.884959791096958E-2</v>
      </c>
      <c r="Q13" s="21">
        <f>AVERAGE(E232:E251)</f>
        <v>-2.7375000000000001E-4</v>
      </c>
      <c r="R13" s="22">
        <f t="shared" si="2"/>
        <v>-1.1139560908577795</v>
      </c>
      <c r="U13" s="5"/>
      <c r="V13" s="27"/>
    </row>
    <row r="14" spans="1:24" x14ac:dyDescent="0.2">
      <c r="A14" s="5">
        <v>42828</v>
      </c>
      <c r="B14" s="6">
        <v>-1.3420346996403376E-3</v>
      </c>
      <c r="C14" s="8">
        <v>-1.0446812206461255E-3</v>
      </c>
      <c r="D14" s="7">
        <v>-3.3E-3</v>
      </c>
      <c r="E14" s="13">
        <f t="shared" si="0"/>
        <v>-2.7499999999999996E-4</v>
      </c>
      <c r="G14" s="20">
        <v>43190</v>
      </c>
      <c r="H14" s="21">
        <f t="array" ref="H14">PRODUCT(1+B252:B273)-1</f>
        <v>-1.6576696606863339E-2</v>
      </c>
      <c r="I14" s="21">
        <f>_xlfn.STDEV.S(B252:B273)*SQRT(20)</f>
        <v>2.9307943508249942E-2</v>
      </c>
      <c r="J14" s="29">
        <f>AVERAGE(E252:E273)</f>
        <v>-2.7325757575757579E-4</v>
      </c>
      <c r="K14" s="22">
        <f t="shared" si="1"/>
        <v>-0.55628055330857595</v>
      </c>
      <c r="N14" s="20">
        <v>43190</v>
      </c>
      <c r="O14" s="21">
        <f t="array" ref="O14">PRODUCT(1+C252:C273)-1</f>
        <v>-4.841681679669918E-3</v>
      </c>
      <c r="P14" s="21">
        <f>_xlfn.STDEV.S(C252:C273)*SQRT(20)</f>
        <v>1.302315515005208E-2</v>
      </c>
      <c r="Q14" s="21">
        <f>AVERAGE(E252:E273)</f>
        <v>-2.7325757575757579E-4</v>
      </c>
      <c r="R14" s="22">
        <f t="shared" si="2"/>
        <v>-0.35079241944637912</v>
      </c>
      <c r="U14" s="5"/>
      <c r="V14" s="27"/>
    </row>
    <row r="15" spans="1:24" x14ac:dyDescent="0.2">
      <c r="A15" s="5">
        <v>42829</v>
      </c>
      <c r="B15" s="6">
        <v>6.0436050922585416E-4</v>
      </c>
      <c r="C15" s="8">
        <v>5.9827851954525181E-4</v>
      </c>
      <c r="D15" s="7">
        <v>-3.3E-3</v>
      </c>
      <c r="E15" s="13">
        <f t="shared" si="0"/>
        <v>-2.7499999999999996E-4</v>
      </c>
      <c r="G15" s="20">
        <v>43220</v>
      </c>
      <c r="H15" s="21">
        <f t="array" ref="H15">PRODUCT(1+B274:B294)-1</f>
        <v>2.8786579598098161E-2</v>
      </c>
      <c r="I15" s="21">
        <f>_xlfn.STDEV.S(B274:B294)*SQRT(20)</f>
        <v>2.132204244133579E-2</v>
      </c>
      <c r="J15" s="29">
        <f>AVERAGE(E274:E294)</f>
        <v>-2.7369047619047626E-4</v>
      </c>
      <c r="K15" s="22">
        <f t="shared" si="1"/>
        <v>1.3629215003320321</v>
      </c>
      <c r="N15" s="20">
        <v>43220</v>
      </c>
      <c r="O15" s="21">
        <f t="array" ref="O15">PRODUCT(1+C274:C294)-1</f>
        <v>8.5418408919482047E-3</v>
      </c>
      <c r="P15" s="21">
        <f>_xlfn.STDEV.S(C274:C294)*SQRT(20)</f>
        <v>8.0031207443826829E-3</v>
      </c>
      <c r="Q15" s="21">
        <f>AVERAGE(E274:E294)</f>
        <v>-2.7369047619047626E-4</v>
      </c>
      <c r="R15" s="22">
        <f t="shared" si="2"/>
        <v>1.1015117289497627</v>
      </c>
      <c r="U15" s="5"/>
      <c r="V15" s="27"/>
    </row>
    <row r="16" spans="1:24" x14ac:dyDescent="0.2">
      <c r="A16" s="5">
        <v>42830</v>
      </c>
      <c r="B16" s="6">
        <v>-3.6165991939784981E-5</v>
      </c>
      <c r="C16" s="8">
        <v>1.7678556678054513E-5</v>
      </c>
      <c r="D16" s="7">
        <v>-3.29E-3</v>
      </c>
      <c r="E16" s="13">
        <f t="shared" si="0"/>
        <v>-2.7416666666666664E-4</v>
      </c>
      <c r="G16" s="20">
        <v>43251</v>
      </c>
      <c r="H16" s="21">
        <f t="array" ref="H16">PRODUCT(1+B295:B317)-1</f>
        <v>4.9379591322717964E-4</v>
      </c>
      <c r="I16" s="21">
        <f>_xlfn.STDEV.S(B295:B317)*SQRT(20)</f>
        <v>1.554051823206627E-2</v>
      </c>
      <c r="J16" s="29">
        <f>AVERAGE(E295:E317)</f>
        <v>-2.7115942028985515E-4</v>
      </c>
      <c r="K16" s="22">
        <f t="shared" si="1"/>
        <v>4.9223283425557054E-2</v>
      </c>
      <c r="N16" s="20">
        <v>43251</v>
      </c>
      <c r="O16" s="21">
        <f t="array" ref="O16">PRODUCT(1+C295:C317)-1</f>
        <v>-5.6047396010514561E-3</v>
      </c>
      <c r="P16" s="21">
        <f>_xlfn.STDEV.S(C295:C317)*SQRT(20)</f>
        <v>9.0209862524404001E-3</v>
      </c>
      <c r="Q16" s="21">
        <f>AVERAGE(E295:E317)</f>
        <v>-2.7115942028985515E-4</v>
      </c>
      <c r="R16" s="22">
        <f t="shared" si="2"/>
        <v>-0.59124136003629713</v>
      </c>
      <c r="U16" s="5"/>
      <c r="V16" s="27"/>
    </row>
    <row r="17" spans="1:24" x14ac:dyDescent="0.2">
      <c r="A17" s="5">
        <v>42831</v>
      </c>
      <c r="B17" s="6">
        <v>1.2028554826952753E-3</v>
      </c>
      <c r="C17" s="8">
        <v>7.6028206534473227E-4</v>
      </c>
      <c r="D17" s="7">
        <v>-3.3E-3</v>
      </c>
      <c r="E17" s="13">
        <f t="shared" si="0"/>
        <v>-2.7499999999999996E-4</v>
      </c>
      <c r="G17" s="20">
        <v>43281</v>
      </c>
      <c r="H17" s="21">
        <f t="array" ref="H17">PRODUCT(1+B318:B338)-1</f>
        <v>-1.2033058270948582E-2</v>
      </c>
      <c r="I17" s="21">
        <f>_xlfn.STDEV.S(B318:B338)*SQRT(20)</f>
        <v>2.2741390576435004E-2</v>
      </c>
      <c r="J17" s="29">
        <f>AVERAGE(E318:E338)</f>
        <v>-2.6837301587301587E-4</v>
      </c>
      <c r="K17" s="22">
        <f t="shared" si="1"/>
        <v>-0.51732479663166786</v>
      </c>
      <c r="N17" s="20">
        <v>43281</v>
      </c>
      <c r="O17" s="21">
        <f t="array" ref="O17">PRODUCT(1+C318:C338)-1</f>
        <v>-1.410664401512618E-2</v>
      </c>
      <c r="P17" s="21">
        <f>_xlfn.STDEV.S(C318:C338)*SQRT(20)</f>
        <v>1.6983128144743457E-2</v>
      </c>
      <c r="Q17" s="21">
        <f>AVERAGE(E318:E338)</f>
        <v>-2.6837301587301587E-4</v>
      </c>
      <c r="R17" s="22">
        <f t="shared" si="2"/>
        <v>-0.81482462366842145</v>
      </c>
      <c r="U17" s="5"/>
      <c r="V17" s="27"/>
    </row>
    <row r="18" spans="1:24" x14ac:dyDescent="0.2">
      <c r="A18" s="5">
        <v>42832</v>
      </c>
      <c r="B18" s="6">
        <v>1.1245796517178608E-3</v>
      </c>
      <c r="C18" s="8">
        <v>9.8968467164137859E-4</v>
      </c>
      <c r="D18" s="7">
        <v>-3.3E-3</v>
      </c>
      <c r="E18" s="13">
        <f t="shared" si="0"/>
        <v>-2.7499999999999996E-4</v>
      </c>
      <c r="G18" s="20">
        <v>43312</v>
      </c>
      <c r="H18" s="21">
        <f t="array" ref="H18">PRODUCT(1+B339:B360)-1</f>
        <v>2.1385111888616359E-2</v>
      </c>
      <c r="I18" s="21">
        <f>_xlfn.STDEV.S(B339:B360)*SQRT(20)</f>
        <v>1.6766377866702188E-2</v>
      </c>
      <c r="J18" s="29">
        <f>AVERAGE(E339:E360)</f>
        <v>-2.6727272727272732E-4</v>
      </c>
      <c r="K18" s="22">
        <f t="shared" si="1"/>
        <v>1.2914169529061161</v>
      </c>
      <c r="N18" s="20">
        <v>43312</v>
      </c>
      <c r="O18" s="21">
        <f t="array" ref="O18">PRODUCT(1+C339:C360)-1</f>
        <v>1.3620100846443606E-2</v>
      </c>
      <c r="P18" s="21">
        <f>_xlfn.STDEV.S(C339:C360)*SQRT(20)</f>
        <v>1.0899322045172953E-2</v>
      </c>
      <c r="Q18" s="21">
        <f>AVERAGE(E339:E360)</f>
        <v>-2.6727272727272732E-4</v>
      </c>
      <c r="R18" s="22">
        <f t="shared" si="2"/>
        <v>1.2741502192667769</v>
      </c>
      <c r="U18" s="5"/>
      <c r="V18" s="27"/>
    </row>
    <row r="19" spans="1:24" x14ac:dyDescent="0.2">
      <c r="A19" s="5">
        <v>42835</v>
      </c>
      <c r="B19" s="6">
        <v>2.0447527191103099E-4</v>
      </c>
      <c r="C19" s="8">
        <v>2.259902836826544E-4</v>
      </c>
      <c r="D19" s="7">
        <v>-3.32E-3</v>
      </c>
      <c r="E19" s="13">
        <f t="shared" si="0"/>
        <v>-2.7666666666666665E-4</v>
      </c>
      <c r="G19" s="20">
        <v>43343</v>
      </c>
      <c r="H19" s="21">
        <f t="array" ref="H19">PRODUCT(1+B361:B383)-1</f>
        <v>-1.144683100633237E-2</v>
      </c>
      <c r="I19" s="21">
        <f>_xlfn.STDEV.S(B361:B383)*SQRT(20)</f>
        <v>1.5527252536398615E-2</v>
      </c>
      <c r="J19" s="29">
        <f>AVERAGE(E361:E383)</f>
        <v>-2.6583333333333325E-4</v>
      </c>
      <c r="K19" s="22">
        <f t="shared" si="1"/>
        <v>-0.72008860851517731</v>
      </c>
      <c r="N19" s="20">
        <v>43343</v>
      </c>
      <c r="O19" s="21">
        <f t="array" ref="O19">PRODUCT(1+C361:C383)-1</f>
        <v>-1.144683100633237E-2</v>
      </c>
      <c r="P19" s="21">
        <f>_xlfn.STDEV.S(C361:C383)*SQRT(20)</f>
        <v>1.5527252536398615E-2</v>
      </c>
      <c r="Q19" s="21">
        <f>AVERAGE(E361:E383)</f>
        <v>-2.6583333333333325E-4</v>
      </c>
      <c r="R19" s="22">
        <f t="shared" si="2"/>
        <v>-0.72008860851517731</v>
      </c>
      <c r="U19" s="5"/>
      <c r="V19" s="27"/>
    </row>
    <row r="20" spans="1:24" x14ac:dyDescent="0.2">
      <c r="A20" s="5">
        <v>42836</v>
      </c>
      <c r="B20" s="6">
        <v>-4.7516991296858713E-4</v>
      </c>
      <c r="C20" s="8">
        <v>-1.7818242989388772E-4</v>
      </c>
      <c r="D20" s="7">
        <v>-3.32E-3</v>
      </c>
      <c r="E20" s="13">
        <f t="shared" si="0"/>
        <v>-2.7666666666666665E-4</v>
      </c>
      <c r="G20" s="20">
        <v>43373</v>
      </c>
      <c r="H20" s="21">
        <f t="array" ref="H20">PRODUCT(1+B384:B403)-1</f>
        <v>1.1115742775416049E-3</v>
      </c>
      <c r="I20" s="21">
        <f>_xlfn.STDEV.S(B384:B403)*SQRT(20)</f>
        <v>1.8115212756991319E-2</v>
      </c>
      <c r="J20" s="29">
        <f>AVERAGE(E384:E403)</f>
        <v>-2.6570833333333318E-4</v>
      </c>
      <c r="K20" s="22">
        <f t="shared" si="1"/>
        <v>7.6029060732030015E-2</v>
      </c>
      <c r="N20" s="20">
        <v>43373</v>
      </c>
      <c r="O20" s="21">
        <f t="array" ref="O20">PRODUCT(1+C384:C403)-1</f>
        <v>-3.8569608267157163E-3</v>
      </c>
      <c r="P20" s="21">
        <f>_xlfn.STDEV.S(C384:C403)*SQRT(20)</f>
        <v>1.5721884266561469E-2</v>
      </c>
      <c r="Q20" s="21">
        <f>AVERAGE(E384:E403)</f>
        <v>-2.6570833333333318E-4</v>
      </c>
      <c r="R20" s="22">
        <f t="shared" si="2"/>
        <v>-0.22842379656874459</v>
      </c>
      <c r="U20" s="5"/>
      <c r="V20" s="27"/>
    </row>
    <row r="21" spans="1:24" x14ac:dyDescent="0.2">
      <c r="A21" s="5">
        <v>42837</v>
      </c>
      <c r="B21" s="6">
        <v>1.8333391525466869E-3</v>
      </c>
      <c r="C21" s="8">
        <v>1.7362600165735671E-3</v>
      </c>
      <c r="D21" s="7">
        <v>-3.32E-3</v>
      </c>
      <c r="E21" s="13">
        <f t="shared" si="0"/>
        <v>-2.7666666666666665E-4</v>
      </c>
      <c r="G21" s="20">
        <v>43404</v>
      </c>
      <c r="H21" s="21">
        <f t="array" ref="H21">PRODUCT(1+B404:B426)-1</f>
        <v>-6.2645542292225964E-2</v>
      </c>
      <c r="I21" s="21">
        <f>_xlfn.STDEV.S(B404:B426)*SQRT(20)</f>
        <v>3.6416767370047808E-2</v>
      </c>
      <c r="J21" s="29">
        <f>AVERAGE(E404:E426)</f>
        <v>-2.6474637681159419E-4</v>
      </c>
      <c r="K21" s="22">
        <f t="shared" si="1"/>
        <v>-1.712969063990055</v>
      </c>
      <c r="N21" s="20">
        <v>43404</v>
      </c>
      <c r="O21" s="21">
        <f t="array" ref="O21">PRODUCT(1+C404:C426)-1</f>
        <v>-4.8763006850132573E-2</v>
      </c>
      <c r="P21" s="21">
        <f>_xlfn.STDEV.S(C404:C426)*SQRT(20)</f>
        <v>1.7898572265826702E-2</v>
      </c>
      <c r="Q21" s="21">
        <f>AVERAGE(E404:E426)</f>
        <v>-2.6474637681159419E-4</v>
      </c>
      <c r="R21" s="22">
        <f>(O21-Q21)/P21</f>
        <v>-2.7096161499941256</v>
      </c>
    </row>
    <row r="22" spans="1:24" x14ac:dyDescent="0.2">
      <c r="A22" s="5">
        <v>42838</v>
      </c>
      <c r="B22" s="6">
        <v>-3.4492177460161422E-3</v>
      </c>
      <c r="C22" s="8">
        <v>-2.8607251088910023E-3</v>
      </c>
      <c r="D22" s="7">
        <v>-3.31E-3</v>
      </c>
      <c r="E22" s="13">
        <f t="shared" si="0"/>
        <v>-2.7583333333333333E-4</v>
      </c>
      <c r="G22" s="20">
        <v>43434</v>
      </c>
      <c r="H22" s="21">
        <f t="array" ref="H22">PRODUCT(1+B427:B448)-1</f>
        <v>-3.8369549191443753E-3</v>
      </c>
      <c r="I22" s="21">
        <f>_xlfn.STDEV.S(B427:B448)*SQRT(20)</f>
        <v>2.4844297825672487E-2</v>
      </c>
      <c r="J22" s="29">
        <f>AVERAGE(E427:E448)</f>
        <v>-2.6363636363636362E-4</v>
      </c>
      <c r="K22" s="22">
        <f t="shared" si="1"/>
        <v>-0.14382851874427202</v>
      </c>
      <c r="N22" s="20">
        <v>43434</v>
      </c>
      <c r="O22" s="21">
        <f t="array" ref="O22">PRODUCT(1+C427:C448)-1</f>
        <v>-7.2278954306674859E-3</v>
      </c>
      <c r="P22" s="21">
        <f>_xlfn.STDEV.S(C427:C448)*SQRT(20)</f>
        <v>7.6989231694059856E-3</v>
      </c>
      <c r="Q22" s="21">
        <f>AVERAGE(E427:E448)</f>
        <v>-2.6363636363636362E-4</v>
      </c>
      <c r="R22" s="22">
        <f t="shared" si="2"/>
        <v>-0.9045757327084033</v>
      </c>
    </row>
    <row r="23" spans="1:24" x14ac:dyDescent="0.2">
      <c r="A23" s="5">
        <v>42839</v>
      </c>
      <c r="B23" s="6">
        <v>-8.2612811796445307E-5</v>
      </c>
      <c r="C23" s="8">
        <v>-5.7246419636494722E-5</v>
      </c>
      <c r="D23" s="7">
        <v>-3.31E-3</v>
      </c>
      <c r="E23" s="13">
        <f t="shared" si="0"/>
        <v>-2.7583333333333333E-4</v>
      </c>
      <c r="G23" s="23"/>
      <c r="H23" s="24"/>
      <c r="I23" s="24"/>
      <c r="J23" s="29"/>
      <c r="K23" s="24"/>
      <c r="N23" s="23"/>
      <c r="O23" s="21"/>
      <c r="P23" s="21"/>
      <c r="Q23" s="21"/>
      <c r="R23" s="24"/>
    </row>
    <row r="24" spans="1:24" x14ac:dyDescent="0.2">
      <c r="A24" s="5">
        <v>42842</v>
      </c>
      <c r="B24" s="6">
        <v>1.9362083639529182E-4</v>
      </c>
      <c r="C24" s="8">
        <v>-5.1217638255876368E-5</v>
      </c>
      <c r="D24" s="7">
        <v>-3.31E-3</v>
      </c>
      <c r="E24" s="13">
        <f t="shared" si="0"/>
        <v>-2.7583333333333333E-4</v>
      </c>
      <c r="G24" s="23"/>
      <c r="H24" s="24"/>
      <c r="I24" s="24"/>
      <c r="J24" s="29"/>
      <c r="K24" s="24"/>
      <c r="N24" s="23"/>
      <c r="O24" s="21"/>
      <c r="P24" s="21"/>
      <c r="Q24" s="21"/>
      <c r="R24" s="24"/>
      <c r="X24" s="10" t="s">
        <v>20</v>
      </c>
    </row>
    <row r="25" spans="1:24" x14ac:dyDescent="0.2">
      <c r="A25" s="5">
        <v>42843</v>
      </c>
      <c r="B25" s="6">
        <v>-5.8971893145645105E-3</v>
      </c>
      <c r="C25" s="8">
        <v>-4.9399820387842942E-3</v>
      </c>
      <c r="D25" s="7">
        <v>-3.31E-3</v>
      </c>
      <c r="E25" s="13">
        <f t="shared" si="0"/>
        <v>-2.7583333333333333E-4</v>
      </c>
      <c r="F25" s="31">
        <f>G2</f>
        <v>42825</v>
      </c>
      <c r="G25" s="32" t="s">
        <v>3</v>
      </c>
      <c r="H25" s="33">
        <v>9.4945636595904492E-3</v>
      </c>
      <c r="I25" s="33">
        <v>1.4945246127797497E-2</v>
      </c>
      <c r="J25" s="33">
        <v>-2.746527777777778E-4</v>
      </c>
      <c r="K25" s="34">
        <f t="shared" si="1"/>
        <v>0.65366714966292305</v>
      </c>
      <c r="L25" s="35"/>
      <c r="M25" s="31">
        <f>N2</f>
        <v>42825</v>
      </c>
      <c r="N25" s="32" t="s">
        <v>3</v>
      </c>
      <c r="O25" s="33">
        <v>5.7154183228254052E-3</v>
      </c>
      <c r="P25" s="33">
        <v>1.0508177131787866E-2</v>
      </c>
      <c r="Q25" s="33">
        <v>-2.746527777777778E-4</v>
      </c>
      <c r="R25" s="34">
        <f>(O25-Q25)/P25</f>
        <v>0.5700390301266296</v>
      </c>
    </row>
    <row r="26" spans="1:24" x14ac:dyDescent="0.2">
      <c r="A26" s="5">
        <v>42844</v>
      </c>
      <c r="B26" s="6">
        <v>1.0239917855703329E-3</v>
      </c>
      <c r="C26" s="8">
        <v>1.0736252718837971E-3</v>
      </c>
      <c r="D26" s="7">
        <v>-3.32E-3</v>
      </c>
      <c r="E26" s="13">
        <f t="shared" si="0"/>
        <v>-2.7666666666666665E-4</v>
      </c>
      <c r="F26" s="11">
        <f>G5</f>
        <v>42916</v>
      </c>
      <c r="G26" s="23" t="s">
        <v>4</v>
      </c>
      <c r="H26" s="21">
        <f t="array" ref="H26">PRODUCT(1+B14:B78)-1</f>
        <v>1.6763050127671653E-2</v>
      </c>
      <c r="I26" s="21">
        <f>_xlfn.STDEV.S(B14:B78)*SQRT(60)</f>
        <v>2.985009710445399E-2</v>
      </c>
      <c r="J26" s="29">
        <f>AVERAGE(D14:D78)*3/12</f>
        <v>-8.2484615384615333E-4</v>
      </c>
      <c r="K26" s="22">
        <f t="shared" si="1"/>
        <v>0.58920733892331223</v>
      </c>
      <c r="M26" s="11">
        <f>N5</f>
        <v>42916</v>
      </c>
      <c r="N26" s="23" t="s">
        <v>4</v>
      </c>
      <c r="O26" s="21">
        <f t="array" ref="O26">PRODUCT(1+C14:C78)-1</f>
        <v>1.4906699839475568E-2</v>
      </c>
      <c r="P26" s="21">
        <f>_xlfn.STDEV.S(C14:C78)*SQRT(60)</f>
        <v>2.8797955501601337E-2</v>
      </c>
      <c r="Q26" s="21">
        <f>AVERAGE(D14:D78)*3/12</f>
        <v>-8.2484615384615333E-4</v>
      </c>
      <c r="R26" s="22">
        <f t="shared" si="2"/>
        <v>0.54627301554261209</v>
      </c>
    </row>
    <row r="27" spans="1:24" x14ac:dyDescent="0.2">
      <c r="A27" s="5">
        <v>42845</v>
      </c>
      <c r="B27" s="6">
        <v>2.2845854151543055E-3</v>
      </c>
      <c r="C27" s="8">
        <v>1.7968991868216586E-3</v>
      </c>
      <c r="D27" s="7">
        <v>-3.32E-3</v>
      </c>
      <c r="E27" s="13">
        <f t="shared" si="0"/>
        <v>-2.7666666666666665E-4</v>
      </c>
      <c r="F27" s="15">
        <f>G8</f>
        <v>43008</v>
      </c>
      <c r="G27" s="23" t="s">
        <v>5</v>
      </c>
      <c r="H27" s="21">
        <f t="array" ref="H27">PRODUCT(1+B79:B143)-1</f>
        <v>2.4585329936547717E-2</v>
      </c>
      <c r="I27" s="21">
        <f>_xlfn.STDEV.S(B79:B143)*SQRT(60)</f>
        <v>3.1359281684605916E-2</v>
      </c>
      <c r="J27" s="29">
        <f>AVERAGE(D79:D143)*3/12</f>
        <v>-8.2403846153846069E-4</v>
      </c>
      <c r="K27" s="22">
        <f t="shared" si="1"/>
        <v>0.81026627630184156</v>
      </c>
      <c r="M27" s="15">
        <f>N8</f>
        <v>43008</v>
      </c>
      <c r="N27" s="23" t="s">
        <v>5</v>
      </c>
      <c r="O27" s="21">
        <f t="array" ref="O27">PRODUCT(1+C79:C143)-1</f>
        <v>2.1003763794908759E-2</v>
      </c>
      <c r="P27" s="21">
        <f>_xlfn.STDEV.S(C79:C143)*SQRT(60)</f>
        <v>3.0873563064511216E-2</v>
      </c>
      <c r="Q27" s="21">
        <f>AVERAGE(D79:D143)*3/12</f>
        <v>-8.2403846153846069E-4</v>
      </c>
      <c r="R27" s="22">
        <f t="shared" si="2"/>
        <v>0.70700625680415907</v>
      </c>
    </row>
    <row r="28" spans="1:24" x14ac:dyDescent="0.2">
      <c r="A28" s="5">
        <v>42846</v>
      </c>
      <c r="B28" s="6">
        <v>7.0573602076828834E-4</v>
      </c>
      <c r="C28" s="8">
        <v>4.6788407384284938E-4</v>
      </c>
      <c r="D28" s="7">
        <v>-3.31E-3</v>
      </c>
      <c r="E28" s="13">
        <f t="shared" si="0"/>
        <v>-2.7583333333333333E-4</v>
      </c>
      <c r="F28" s="15">
        <f>G11</f>
        <v>43100</v>
      </c>
      <c r="G28" s="23" t="s">
        <v>6</v>
      </c>
      <c r="H28" s="21">
        <f t="array" ref="H28">PRODUCT(1+B144:B208)-1</f>
        <v>1.6011419032865515E-2</v>
      </c>
      <c r="I28" s="21">
        <f>_xlfn.STDEV.S(B144:B208)*SQRT(60)</f>
        <v>2.610255398678309E-2</v>
      </c>
      <c r="J28" s="29">
        <f>AVERAGE(D144:D208)*3/12</f>
        <v>-8.221538461538454E-4</v>
      </c>
      <c r="K28" s="22">
        <f t="shared" si="1"/>
        <v>0.64490137200915143</v>
      </c>
      <c r="M28" s="15">
        <f>N11</f>
        <v>43100</v>
      </c>
      <c r="N28" s="23" t="s">
        <v>6</v>
      </c>
      <c r="O28" s="21">
        <f t="array" ref="O28">PRODUCT(1+C144:C208)-1</f>
        <v>6.8157696625337216E-3</v>
      </c>
      <c r="P28" s="21">
        <f>_xlfn.STDEV.S(C144:C208)*SQRT(60)</f>
        <v>2.090597609188493E-2</v>
      </c>
      <c r="Q28" s="21">
        <f>AVERAGE(D144:D208)*3/12</f>
        <v>-8.221538461538454E-4</v>
      </c>
      <c r="R28" s="22">
        <f t="shared" si="2"/>
        <v>0.36534641937395018</v>
      </c>
    </row>
    <row r="29" spans="1:24" x14ac:dyDescent="0.2">
      <c r="A29" s="5">
        <v>42849</v>
      </c>
      <c r="B29" s="6">
        <v>1.2383534444964539E-2</v>
      </c>
      <c r="C29" s="8">
        <v>1.038154547660828E-2</v>
      </c>
      <c r="D29" s="7">
        <v>-3.29E-3</v>
      </c>
      <c r="E29" s="13">
        <f t="shared" si="0"/>
        <v>-2.7416666666666664E-4</v>
      </c>
      <c r="F29" s="15">
        <f>G14</f>
        <v>43190</v>
      </c>
      <c r="G29" s="23" t="s">
        <v>7</v>
      </c>
      <c r="H29" s="21">
        <f t="array" ref="H29">PRODUCT(1+B209:B273)-1</f>
        <v>-2.640341415340719E-2</v>
      </c>
      <c r="I29" s="21">
        <f>_xlfn.STDEV.S(B209:B273)*SQRT(60)</f>
        <v>5.1201066180789109E-2</v>
      </c>
      <c r="J29" s="29">
        <f>AVERAGE(D209:D273)*3/12</f>
        <v>-8.2073076923076902E-4</v>
      </c>
      <c r="K29" s="22">
        <f t="shared" si="1"/>
        <v>-0.49965138018503158</v>
      </c>
      <c r="M29" s="15">
        <f>N14</f>
        <v>43190</v>
      </c>
      <c r="N29" s="23" t="s">
        <v>7</v>
      </c>
      <c r="O29" s="21">
        <f t="array" ref="O29">PRODUCT(1+C209:C273)-1</f>
        <v>-1.5159492589435941E-2</v>
      </c>
      <c r="P29" s="21">
        <f>_xlfn.STDEV.S(C209:C273)*SQRT(60)</f>
        <v>2.7034429917369946E-2</v>
      </c>
      <c r="Q29" s="21">
        <f>AVERAGE(D209:D273)*3/12</f>
        <v>-8.2073076923076902E-4</v>
      </c>
      <c r="R29" s="22">
        <f t="shared" si="2"/>
        <v>-0.53038891014277856</v>
      </c>
      <c r="V29" s="26"/>
    </row>
    <row r="30" spans="1:24" x14ac:dyDescent="0.2">
      <c r="A30" s="5">
        <v>42850</v>
      </c>
      <c r="B30" s="6">
        <v>2.2792860934091053E-3</v>
      </c>
      <c r="C30" s="8">
        <v>1.9162623383261342E-3</v>
      </c>
      <c r="D30" s="7">
        <v>-3.29E-3</v>
      </c>
      <c r="E30" s="13">
        <f t="shared" si="0"/>
        <v>-2.7416666666666664E-4</v>
      </c>
      <c r="F30" s="15">
        <f>G17</f>
        <v>43281</v>
      </c>
      <c r="G30" s="23" t="s">
        <v>8</v>
      </c>
      <c r="H30" s="21">
        <f t="array" ref="H30">PRODUCT(1+B274:B338)-1</f>
        <v>1.6909028424756833E-2</v>
      </c>
      <c r="I30" s="21">
        <f>_xlfn.STDEV.S(B274:B338)*SQRT(60)</f>
        <v>3.4620877830472248E-2</v>
      </c>
      <c r="J30" s="29">
        <f>AVERAGE(D274:D338)*3/12</f>
        <v>-8.1323076923076889E-4</v>
      </c>
      <c r="K30" s="22">
        <f t="shared" si="1"/>
        <v>0.51189514260060165</v>
      </c>
      <c r="M30" s="15">
        <f>N17</f>
        <v>43281</v>
      </c>
      <c r="N30" s="23" t="s">
        <v>8</v>
      </c>
      <c r="O30" s="21">
        <f t="array" ref="O30">PRODUCT(1+C274:C338)-1</f>
        <v>-1.1258174807814547E-2</v>
      </c>
      <c r="P30" s="21">
        <f>_xlfn.STDEV.S(C274:C338)*SQRT(60)</f>
        <v>2.0638257358979218E-2</v>
      </c>
      <c r="Q30" s="21">
        <f>AVERAGE(D274:D338)*3/12</f>
        <v>-8.1323076923076889E-4</v>
      </c>
      <c r="R30" s="22">
        <f t="shared" si="2"/>
        <v>-0.50609622008805066</v>
      </c>
    </row>
    <row r="31" spans="1:24" x14ac:dyDescent="0.2">
      <c r="A31" s="5">
        <v>42851</v>
      </c>
      <c r="B31" s="6">
        <v>3.4533704428607592E-3</v>
      </c>
      <c r="C31" s="8">
        <v>3.3086920425880561E-3</v>
      </c>
      <c r="D31" s="7">
        <v>-3.29E-3</v>
      </c>
      <c r="E31" s="13">
        <f t="shared" si="0"/>
        <v>-2.7416666666666664E-4</v>
      </c>
      <c r="F31" s="15">
        <f>G20</f>
        <v>43373</v>
      </c>
      <c r="G31" s="23" t="s">
        <v>9</v>
      </c>
      <c r="H31" s="21">
        <f t="array" ref="H31">PRODUCT(1+B339:B403)-1</f>
        <v>1.081583843115097E-2</v>
      </c>
      <c r="I31" s="21">
        <f>_xlfn.STDEV.S(B339:B403)*SQRT(60)</f>
        <v>2.8991760952881074E-2</v>
      </c>
      <c r="J31" s="29">
        <f>AVERAGE(D339:D403)*3/12</f>
        <v>-7.9884615384615346E-4</v>
      </c>
      <c r="K31" s="22">
        <f t="shared" si="1"/>
        <v>0.4006201832263282</v>
      </c>
      <c r="M31" s="15">
        <f>N20</f>
        <v>43373</v>
      </c>
      <c r="N31" s="23" t="s">
        <v>9</v>
      </c>
      <c r="O31" s="21">
        <f t="array" ref="O31">PRODUCT(1+C339:C403)-1</f>
        <v>-1.8473788687584092E-3</v>
      </c>
      <c r="P31" s="21">
        <f>_xlfn.STDEV.S(C339:C403)*SQRT(60)</f>
        <v>2.4484433823944586E-2</v>
      </c>
      <c r="Q31" s="21">
        <f>AVERAGE(D339:D403)*3/12</f>
        <v>-7.9884615384615346E-4</v>
      </c>
      <c r="R31" s="22">
        <f t="shared" si="2"/>
        <v>-4.2824462368692459E-2</v>
      </c>
    </row>
    <row r="32" spans="1:24" x14ac:dyDescent="0.2">
      <c r="A32" s="5">
        <v>42852</v>
      </c>
      <c r="B32" s="6">
        <v>7.3999959374648761E-4</v>
      </c>
      <c r="C32" s="8">
        <v>7.4545546604467498E-4</v>
      </c>
      <c r="D32" s="7">
        <v>-3.29E-3</v>
      </c>
      <c r="E32" s="13">
        <f t="shared" si="0"/>
        <v>-2.7416666666666664E-4</v>
      </c>
      <c r="F32" s="15">
        <f>G22</f>
        <v>43434</v>
      </c>
      <c r="G32" s="23" t="s">
        <v>10</v>
      </c>
      <c r="H32" s="21">
        <f t="array" ref="H32">PRODUCT(1+B404:B448)-1</f>
        <v>-6.6242129089709612E-2</v>
      </c>
      <c r="I32" s="21">
        <f>_xlfn.STDEV.S(B404:B448)*SQRT(60)</f>
        <v>5.4571658149586685E-2</v>
      </c>
      <c r="J32" s="29">
        <f>AVERAGE(D404:D448)*3/12</f>
        <v>-7.926111111111108E-4</v>
      </c>
      <c r="K32" s="22">
        <f t="shared" si="1"/>
        <v>-1.1993316713814057</v>
      </c>
      <c r="M32" s="15">
        <f>N22</f>
        <v>43434</v>
      </c>
      <c r="N32" s="23" t="s">
        <v>10</v>
      </c>
      <c r="O32" s="21">
        <f t="array" ref="O32">PRODUCT(1+C404:C448)-1</f>
        <v>-5.5638448366402415E-2</v>
      </c>
      <c r="P32" s="21">
        <f>_xlfn.STDEV.S(C404:C448)*SQRT(60)</f>
        <v>2.4840547415955663E-2</v>
      </c>
      <c r="Q32" s="21">
        <f>AVERAGE(D404:D448)*3/12</f>
        <v>-7.926111111111108E-4</v>
      </c>
      <c r="R32" s="22">
        <f t="shared" si="2"/>
        <v>-2.2079158054327959</v>
      </c>
    </row>
    <row r="33" spans="1:18" x14ac:dyDescent="0.2">
      <c r="A33" s="5">
        <v>42853</v>
      </c>
      <c r="B33" s="6">
        <v>2.0109379893726853E-3</v>
      </c>
      <c r="C33" s="8">
        <v>2.0152209978037999E-3</v>
      </c>
      <c r="D33" s="7">
        <v>-3.29E-3</v>
      </c>
      <c r="E33" s="13">
        <f t="shared" si="0"/>
        <v>-2.7416666666666664E-4</v>
      </c>
      <c r="G33" s="23"/>
      <c r="H33" s="24"/>
      <c r="I33" s="24"/>
      <c r="J33" s="29"/>
      <c r="K33" s="24"/>
      <c r="N33" s="23"/>
      <c r="O33" s="21"/>
      <c r="P33" s="21"/>
      <c r="Q33" s="21"/>
      <c r="R33" s="24"/>
    </row>
    <row r="34" spans="1:18" x14ac:dyDescent="0.2">
      <c r="A34" s="5">
        <v>42856</v>
      </c>
      <c r="B34" s="6">
        <v>-1.1702825841375386E-4</v>
      </c>
      <c r="C34" s="8">
        <v>-1.1702825841375386E-4</v>
      </c>
      <c r="D34" s="7">
        <v>-3.29E-3</v>
      </c>
      <c r="E34" s="13">
        <f t="shared" si="0"/>
        <v>-2.7416666666666664E-4</v>
      </c>
      <c r="G34" s="23"/>
      <c r="H34" s="24"/>
      <c r="I34" s="24"/>
      <c r="J34" s="29"/>
      <c r="K34" s="24"/>
      <c r="N34" s="23"/>
      <c r="O34" s="21"/>
      <c r="P34" s="21"/>
      <c r="Q34" s="21"/>
      <c r="R34" s="24"/>
    </row>
    <row r="35" spans="1:18" x14ac:dyDescent="0.2">
      <c r="A35" s="5">
        <v>42857</v>
      </c>
      <c r="B35" s="6">
        <v>5.3613041713851395E-3</v>
      </c>
      <c r="C35" s="8">
        <v>5.3613041713851395E-3</v>
      </c>
      <c r="D35" s="7">
        <v>-3.29E-3</v>
      </c>
      <c r="E35" s="13">
        <f t="shared" si="0"/>
        <v>-2.7416666666666664E-4</v>
      </c>
      <c r="G35" s="23">
        <v>2017</v>
      </c>
      <c r="H35" s="21">
        <f t="array" ref="H35">PRODUCT(1+B2:B208)-1</f>
        <v>6.8490000526523209E-2</v>
      </c>
      <c r="I35" s="21">
        <f>_xlfn.STDEV.S(B2:B208)*SQRT(252)</f>
        <v>5.9071292182759166E-2</v>
      </c>
      <c r="J35" s="29">
        <f>AVERAGE(D2:D208)</f>
        <v>-3.294782608695659E-3</v>
      </c>
      <c r="K35" s="22">
        <f>(H35-J35)/I35</f>
        <v>1.2152228346914395</v>
      </c>
      <c r="N35" s="23">
        <v>2017</v>
      </c>
      <c r="O35" s="21">
        <f t="array" ref="O35">PRODUCT(1+C2:C208)-1</f>
        <v>4.9249038730163841E-2</v>
      </c>
      <c r="P35" s="21">
        <f>_xlfn.STDEV.S(C2:C208)*SQRT(252)</f>
        <v>5.4528151594683869E-2</v>
      </c>
      <c r="Q35" s="21">
        <f>AVERAGE(D2:D208)</f>
        <v>-3.294782608695659E-3</v>
      </c>
      <c r="R35" s="22">
        <f>(O35-Q35)/P35</f>
        <v>0.96360906801730228</v>
      </c>
    </row>
    <row r="36" spans="1:18" x14ac:dyDescent="0.2">
      <c r="A36" s="5">
        <v>42858</v>
      </c>
      <c r="B36" s="6">
        <v>-7.7789277749606978E-4</v>
      </c>
      <c r="C36" s="8">
        <v>-7.7789277749606978E-4</v>
      </c>
      <c r="D36" s="7">
        <v>-3.29E-3</v>
      </c>
      <c r="E36" s="13">
        <f t="shared" si="0"/>
        <v>-2.7416666666666664E-4</v>
      </c>
      <c r="G36" s="23">
        <v>2018</v>
      </c>
      <c r="H36" s="21">
        <f t="array" ref="H36">PRODUCT(1+B209:B454)-1</f>
        <v>-0.10319779652570282</v>
      </c>
      <c r="I36" s="21">
        <f>_xlfn.STDEV.S(B209:B454)*SQRT(252)</f>
        <v>9.0777785309846065E-2</v>
      </c>
      <c r="J36" s="29">
        <f>AVERAGE(D209:D454)</f>
        <v>-3.2281707317073213E-3</v>
      </c>
      <c r="K36" s="22">
        <f>(H36-J36)/I36</f>
        <v>-1.1012564963198377</v>
      </c>
      <c r="N36" s="23">
        <v>2018</v>
      </c>
      <c r="O36" s="21">
        <f t="array" ref="O36">PRODUCT(1+C209:C454)-1</f>
        <v>-8.6500824564806122E-2</v>
      </c>
      <c r="P36" s="21">
        <f>_xlfn.STDEV.S(C209:C454)*SQRT(252)</f>
        <v>4.9853351429283758E-2</v>
      </c>
      <c r="Q36" s="21">
        <f>AVERAGE(D209:D454)</f>
        <v>-3.2281707317073213E-3</v>
      </c>
      <c r="R36" s="22">
        <f>(O36-Q36)/P36</f>
        <v>-1.6703521718338199</v>
      </c>
    </row>
    <row r="37" spans="1:18" x14ac:dyDescent="0.2">
      <c r="A37" s="5">
        <v>42859</v>
      </c>
      <c r="B37" s="6">
        <v>2.2988174209057632E-3</v>
      </c>
      <c r="C37" s="8">
        <v>2.2988174209057632E-3</v>
      </c>
      <c r="D37" s="7">
        <v>-3.29E-3</v>
      </c>
      <c r="E37" s="13">
        <f t="shared" si="0"/>
        <v>-2.7416666666666664E-4</v>
      </c>
      <c r="G37" s="23"/>
      <c r="H37" s="24"/>
      <c r="I37" s="24"/>
      <c r="J37" s="29"/>
      <c r="K37" s="24"/>
      <c r="N37" s="23"/>
      <c r="O37" s="24"/>
      <c r="P37" s="24"/>
      <c r="Q37" s="24"/>
      <c r="R37" s="24"/>
    </row>
    <row r="38" spans="1:18" x14ac:dyDescent="0.2">
      <c r="A38" s="5">
        <v>42860</v>
      </c>
      <c r="B38" s="6">
        <v>6.1616162704625221E-3</v>
      </c>
      <c r="C38" s="8">
        <v>6.1616162704625221E-3</v>
      </c>
      <c r="D38" s="7">
        <v>-3.29E-3</v>
      </c>
      <c r="E38" s="13">
        <f t="shared" si="0"/>
        <v>-2.7416666666666664E-4</v>
      </c>
      <c r="G38" s="23"/>
      <c r="H38" s="24"/>
      <c r="I38" s="24"/>
      <c r="J38" s="29"/>
      <c r="K38" s="24"/>
      <c r="N38" s="23"/>
      <c r="O38" s="24"/>
      <c r="P38" s="24"/>
      <c r="Q38" s="24"/>
      <c r="R38" s="24"/>
    </row>
    <row r="39" spans="1:18" x14ac:dyDescent="0.2">
      <c r="A39" s="5">
        <v>42863</v>
      </c>
      <c r="B39" s="6">
        <v>2.0131259589897255E-3</v>
      </c>
      <c r="C39" s="8">
        <v>2.0131259589897255E-3</v>
      </c>
      <c r="D39" s="7">
        <v>-3.29E-3</v>
      </c>
      <c r="E39" s="13">
        <f t="shared" si="0"/>
        <v>-2.7416666666666664E-4</v>
      </c>
      <c r="G39" s="23" t="s">
        <v>11</v>
      </c>
      <c r="H39" s="21">
        <f t="array" ref="H39">((PRODUCT(1+B2:B454))^(252/COUNT(B2:B454))-1)</f>
        <v>-2.3459356402842912E-2</v>
      </c>
      <c r="I39" s="21">
        <f>_xlfn.STDEV.S(B2:B454)*SQRT(252)</f>
        <v>7.8054945075259091E-2</v>
      </c>
      <c r="J39" s="29">
        <f>AVERAGE(D2:D454)</f>
        <v>-3.2586092715231759E-3</v>
      </c>
      <c r="K39" s="22">
        <f>(H39-J39)/I39</f>
        <v>-0.25880163148974816</v>
      </c>
      <c r="N39" s="23" t="s">
        <v>11</v>
      </c>
      <c r="O39" s="21">
        <f t="array" ref="O39">((PRODUCT(1+C2:C454))^(252/COUNT(C2:C454))-1)</f>
        <v>-2.3309728641446426E-2</v>
      </c>
      <c r="P39" s="21">
        <f>_xlfn.STDEV.S(C2:C454)*SQRT(252)</f>
        <v>5.2200384463466122E-2</v>
      </c>
      <c r="Q39" s="21">
        <f>AVERAGE(D2:D454)</f>
        <v>-3.2586092715231759E-3</v>
      </c>
      <c r="R39" s="22">
        <f>(O39-Q39)/P39</f>
        <v>-0.38411823161870734</v>
      </c>
    </row>
    <row r="40" spans="1:18" x14ac:dyDescent="0.2">
      <c r="A40" s="5">
        <v>42864</v>
      </c>
      <c r="B40" s="6">
        <v>3.1727911326158154E-3</v>
      </c>
      <c r="C40" s="8">
        <v>3.1727911326158154E-3</v>
      </c>
      <c r="D40" s="7">
        <v>-3.29E-3</v>
      </c>
      <c r="E40" s="13">
        <f t="shared" si="0"/>
        <v>-2.7416666666666664E-4</v>
      </c>
    </row>
    <row r="41" spans="1:18" x14ac:dyDescent="0.2">
      <c r="A41" s="5">
        <v>42865</v>
      </c>
      <c r="B41" s="6">
        <v>2.4357766633797961E-3</v>
      </c>
      <c r="C41" s="8">
        <v>2.4357766633797961E-3</v>
      </c>
      <c r="D41" s="7">
        <v>-3.29E-3</v>
      </c>
      <c r="E41" s="13">
        <f t="shared" si="0"/>
        <v>-2.7416666666666664E-4</v>
      </c>
      <c r="H41" s="30"/>
    </row>
    <row r="42" spans="1:18" x14ac:dyDescent="0.2">
      <c r="A42" s="5">
        <v>42866</v>
      </c>
      <c r="B42" s="6">
        <v>-1.2348889307587374E-3</v>
      </c>
      <c r="C42" s="8">
        <v>-1.2348889307587374E-3</v>
      </c>
      <c r="D42" s="7">
        <v>-3.29E-3</v>
      </c>
      <c r="E42" s="13">
        <f t="shared" si="0"/>
        <v>-2.7416666666666664E-4</v>
      </c>
    </row>
    <row r="43" spans="1:18" x14ac:dyDescent="0.2">
      <c r="A43" s="5">
        <v>42867</v>
      </c>
      <c r="B43" s="6">
        <v>1.1197058215435263E-3</v>
      </c>
      <c r="C43" s="8">
        <v>1.1197058215435263E-3</v>
      </c>
      <c r="D43" s="7">
        <v>-3.29E-3</v>
      </c>
      <c r="E43" s="13">
        <f t="shared" si="0"/>
        <v>-2.7416666666666664E-4</v>
      </c>
    </row>
    <row r="44" spans="1:18" x14ac:dyDescent="0.2">
      <c r="A44" s="5">
        <v>42870</v>
      </c>
      <c r="B44" s="6">
        <v>-3.1822913921640827E-3</v>
      </c>
      <c r="C44" s="8">
        <v>-3.1822913921640827E-3</v>
      </c>
      <c r="D44" s="7">
        <v>-3.3E-3</v>
      </c>
      <c r="E44" s="13">
        <f t="shared" si="0"/>
        <v>-2.7499999999999996E-4</v>
      </c>
    </row>
    <row r="45" spans="1:18" x14ac:dyDescent="0.2">
      <c r="A45" s="5">
        <v>42871</v>
      </c>
      <c r="B45" s="6">
        <v>-4.1971350639213867E-4</v>
      </c>
      <c r="C45" s="8">
        <v>-4.1971350639213867E-4</v>
      </c>
      <c r="D45" s="7">
        <v>-3.31E-3</v>
      </c>
      <c r="E45" s="13">
        <f t="shared" si="0"/>
        <v>-2.7583333333333333E-4</v>
      </c>
    </row>
    <row r="46" spans="1:18" x14ac:dyDescent="0.2">
      <c r="A46" s="5">
        <v>42872</v>
      </c>
      <c r="B46" s="6">
        <v>-1.041388547414368E-2</v>
      </c>
      <c r="C46" s="8">
        <v>-1.041388547414368E-2</v>
      </c>
      <c r="D46" s="7">
        <v>-3.31E-3</v>
      </c>
      <c r="E46" s="13">
        <f t="shared" si="0"/>
        <v>-2.7583333333333333E-4</v>
      </c>
    </row>
    <row r="47" spans="1:18" x14ac:dyDescent="0.2">
      <c r="A47" s="5">
        <v>42873</v>
      </c>
      <c r="B47" s="6">
        <v>-5.708516112270301E-3</v>
      </c>
      <c r="C47" s="8">
        <v>-5.708516112270301E-3</v>
      </c>
      <c r="D47" s="7">
        <v>-3.31E-3</v>
      </c>
      <c r="E47" s="13">
        <f t="shared" si="0"/>
        <v>-2.7583333333333333E-4</v>
      </c>
    </row>
    <row r="48" spans="1:18" x14ac:dyDescent="0.2">
      <c r="A48" s="5">
        <v>42874</v>
      </c>
      <c r="B48" s="6">
        <v>8.7210319905002276E-3</v>
      </c>
      <c r="C48" s="8">
        <v>8.7210319905002276E-3</v>
      </c>
      <c r="D48" s="7">
        <v>-3.31E-3</v>
      </c>
      <c r="E48" s="13">
        <f t="shared" si="0"/>
        <v>-2.7583333333333333E-4</v>
      </c>
    </row>
    <row r="49" spans="1:5" x14ac:dyDescent="0.2">
      <c r="A49" s="5">
        <v>42877</v>
      </c>
      <c r="B49" s="6">
        <v>2.1914227352786142E-3</v>
      </c>
      <c r="C49" s="8">
        <v>2.1914227352786142E-3</v>
      </c>
      <c r="D49" s="7">
        <v>-3.29E-3</v>
      </c>
      <c r="E49" s="13">
        <f t="shared" si="0"/>
        <v>-2.7416666666666664E-4</v>
      </c>
    </row>
    <row r="50" spans="1:5" x14ac:dyDescent="0.2">
      <c r="A50" s="5">
        <v>42878</v>
      </c>
      <c r="B50" s="6">
        <v>2.2028189245346663E-3</v>
      </c>
      <c r="C50" s="8">
        <v>2.2028189245346663E-3</v>
      </c>
      <c r="D50" s="7">
        <v>-3.3E-3</v>
      </c>
      <c r="E50" s="13">
        <f t="shared" si="0"/>
        <v>-2.7499999999999996E-4</v>
      </c>
    </row>
    <row r="51" spans="1:5" x14ac:dyDescent="0.2">
      <c r="A51" s="5">
        <v>42879</v>
      </c>
      <c r="B51" s="6">
        <v>2.0874259680316865E-3</v>
      </c>
      <c r="C51" s="8">
        <v>2.0874259680316865E-3</v>
      </c>
      <c r="D51" s="7">
        <v>-3.29E-3</v>
      </c>
      <c r="E51" s="13">
        <f t="shared" si="0"/>
        <v>-2.7416666666666664E-4</v>
      </c>
    </row>
    <row r="52" spans="1:5" x14ac:dyDescent="0.2">
      <c r="A52" s="5">
        <v>42880</v>
      </c>
      <c r="B52" s="6">
        <v>-4.1411567183180509E-5</v>
      </c>
      <c r="C52" s="8">
        <v>-4.1411567183180509E-5</v>
      </c>
      <c r="D52" s="7">
        <v>-3.29E-3</v>
      </c>
      <c r="E52" s="13">
        <f t="shared" si="0"/>
        <v>-2.7416666666666664E-4</v>
      </c>
    </row>
    <row r="53" spans="1:5" x14ac:dyDescent="0.2">
      <c r="A53" s="5">
        <v>42881</v>
      </c>
      <c r="B53" s="6">
        <v>1.6262756287703795E-3</v>
      </c>
      <c r="C53" s="8">
        <v>1.6262756287703795E-3</v>
      </c>
      <c r="D53" s="7">
        <v>-3.29E-3</v>
      </c>
      <c r="E53" s="13">
        <f t="shared" si="0"/>
        <v>-2.7416666666666664E-4</v>
      </c>
    </row>
    <row r="54" spans="1:5" x14ac:dyDescent="0.2">
      <c r="A54" s="5">
        <v>42884</v>
      </c>
      <c r="B54" s="6">
        <v>-5.4620560100815396E-4</v>
      </c>
      <c r="C54" s="8">
        <v>-5.4620560100815396E-4</v>
      </c>
      <c r="D54" s="7">
        <v>-3.29E-3</v>
      </c>
      <c r="E54" s="13">
        <f t="shared" si="0"/>
        <v>-2.7416666666666664E-4</v>
      </c>
    </row>
    <row r="55" spans="1:5" x14ac:dyDescent="0.2">
      <c r="A55" s="5">
        <v>42885</v>
      </c>
      <c r="B55" s="6">
        <v>-4.4511847829520335E-4</v>
      </c>
      <c r="C55" s="8">
        <v>-4.4511847829520335E-4</v>
      </c>
      <c r="D55" s="7">
        <v>-3.29E-3</v>
      </c>
      <c r="E55" s="13">
        <f t="shared" si="0"/>
        <v>-2.7416666666666664E-4</v>
      </c>
    </row>
    <row r="56" spans="1:5" x14ac:dyDescent="0.2">
      <c r="A56" s="5">
        <v>42886</v>
      </c>
      <c r="B56" s="6">
        <v>-2.0849871245758322E-3</v>
      </c>
      <c r="C56" s="8">
        <v>-2.0849871245758322E-3</v>
      </c>
      <c r="D56" s="7">
        <v>-3.29E-3</v>
      </c>
      <c r="E56" s="13">
        <f t="shared" si="0"/>
        <v>-2.7416666666666664E-4</v>
      </c>
    </row>
    <row r="57" spans="1:5" x14ac:dyDescent="0.2">
      <c r="A57" s="5">
        <v>42887</v>
      </c>
      <c r="B57" s="6">
        <v>4.5458449499164999E-3</v>
      </c>
      <c r="C57" s="8">
        <v>4.5458449499164999E-3</v>
      </c>
      <c r="D57" s="7">
        <v>-3.29E-3</v>
      </c>
      <c r="E57" s="13">
        <f t="shared" si="0"/>
        <v>-2.7416666666666664E-4</v>
      </c>
    </row>
    <row r="58" spans="1:5" x14ac:dyDescent="0.2">
      <c r="A58" s="5">
        <v>42888</v>
      </c>
      <c r="B58" s="6">
        <v>4.5990452760611422E-3</v>
      </c>
      <c r="C58" s="8">
        <v>4.5990452760611422E-3</v>
      </c>
      <c r="D58" s="7">
        <v>-3.29E-3</v>
      </c>
      <c r="E58" s="13">
        <f t="shared" si="0"/>
        <v>-2.7416666666666664E-4</v>
      </c>
    </row>
    <row r="59" spans="1:5" x14ac:dyDescent="0.2">
      <c r="A59" s="5">
        <v>42891</v>
      </c>
      <c r="B59" s="6">
        <v>-4.8023839361777121E-4</v>
      </c>
      <c r="C59" s="8">
        <v>-4.8023839361777121E-4</v>
      </c>
      <c r="D59" s="7">
        <v>-3.29E-3</v>
      </c>
      <c r="E59" s="13">
        <f t="shared" si="0"/>
        <v>-2.7416666666666664E-4</v>
      </c>
    </row>
    <row r="60" spans="1:5" x14ac:dyDescent="0.2">
      <c r="A60" s="5">
        <v>42892</v>
      </c>
      <c r="B60" s="6">
        <v>-4.3293511055317868E-3</v>
      </c>
      <c r="C60" s="8">
        <v>-4.3293511055317868E-3</v>
      </c>
      <c r="D60" s="7">
        <v>-3.29E-3</v>
      </c>
      <c r="E60" s="13">
        <f t="shared" si="0"/>
        <v>-2.7416666666666664E-4</v>
      </c>
    </row>
    <row r="61" spans="1:5" x14ac:dyDescent="0.2">
      <c r="A61" s="5">
        <v>42893</v>
      </c>
      <c r="B61" s="6">
        <v>-3.2606506739640828E-5</v>
      </c>
      <c r="C61" s="8">
        <v>-3.2606506739640828E-5</v>
      </c>
      <c r="D61" s="7">
        <v>-3.29E-3</v>
      </c>
      <c r="E61" s="13">
        <f t="shared" si="0"/>
        <v>-2.7416666666666664E-4</v>
      </c>
    </row>
    <row r="62" spans="1:5" x14ac:dyDescent="0.2">
      <c r="A62" s="5">
        <v>42894</v>
      </c>
      <c r="B62" s="6">
        <v>4.1675169879984431E-4</v>
      </c>
      <c r="C62" s="8">
        <v>4.1675169879984431E-4</v>
      </c>
      <c r="D62" s="7">
        <v>-3.3E-3</v>
      </c>
      <c r="E62" s="13">
        <f t="shared" si="0"/>
        <v>-2.7499999999999996E-4</v>
      </c>
    </row>
    <row r="63" spans="1:5" x14ac:dyDescent="0.2">
      <c r="A63" s="5">
        <v>42895</v>
      </c>
      <c r="B63" s="6">
        <v>1.4814524206876456E-3</v>
      </c>
      <c r="C63" s="8">
        <v>1.4814524206876456E-3</v>
      </c>
      <c r="D63" s="7">
        <v>-3.31E-3</v>
      </c>
      <c r="E63" s="13">
        <f t="shared" si="0"/>
        <v>-2.7583333333333333E-4</v>
      </c>
    </row>
    <row r="64" spans="1:5" x14ac:dyDescent="0.2">
      <c r="A64" s="5">
        <v>42898</v>
      </c>
      <c r="B64" s="6">
        <v>-6.6281561779076847E-3</v>
      </c>
      <c r="C64" s="8">
        <v>-6.6281561779076847E-3</v>
      </c>
      <c r="D64" s="7">
        <v>-3.31E-3</v>
      </c>
      <c r="E64" s="13">
        <f t="shared" si="0"/>
        <v>-2.7583333333333333E-4</v>
      </c>
    </row>
    <row r="65" spans="1:5" x14ac:dyDescent="0.2">
      <c r="A65" s="5">
        <v>42899</v>
      </c>
      <c r="B65" s="6">
        <v>4.7164998242374967E-3</v>
      </c>
      <c r="C65" s="8">
        <v>4.7164998242374967E-3</v>
      </c>
      <c r="D65" s="7">
        <v>-3.31E-3</v>
      </c>
      <c r="E65" s="13">
        <f t="shared" si="0"/>
        <v>-2.7583333333333333E-4</v>
      </c>
    </row>
    <row r="66" spans="1:5" x14ac:dyDescent="0.2">
      <c r="A66" s="5">
        <v>42900</v>
      </c>
      <c r="B66" s="6">
        <v>-3.7301717495030751E-4</v>
      </c>
      <c r="C66" s="8">
        <v>-3.7301717495030751E-4</v>
      </c>
      <c r="D66" s="7">
        <v>-3.31E-3</v>
      </c>
      <c r="E66" s="13">
        <f t="shared" si="0"/>
        <v>-2.7583333333333333E-4</v>
      </c>
    </row>
    <row r="67" spans="1:5" x14ac:dyDescent="0.2">
      <c r="A67" s="5">
        <v>42901</v>
      </c>
      <c r="B67" s="6">
        <v>-3.817146401532745E-3</v>
      </c>
      <c r="C67" s="8">
        <v>-3.817146401532745E-3</v>
      </c>
      <c r="D67" s="7">
        <v>-3.29E-3</v>
      </c>
      <c r="E67" s="13">
        <f t="shared" ref="E67:E130" si="3">D67*(1/12)</f>
        <v>-2.7416666666666664E-4</v>
      </c>
    </row>
    <row r="68" spans="1:5" x14ac:dyDescent="0.2">
      <c r="A68" s="5">
        <v>42902</v>
      </c>
      <c r="B68" s="6">
        <v>3.094283194506664E-3</v>
      </c>
      <c r="C68" s="8">
        <v>3.094283194506664E-3</v>
      </c>
      <c r="D68" s="7">
        <v>-3.29E-3</v>
      </c>
      <c r="E68" s="13">
        <f t="shared" si="3"/>
        <v>-2.7416666666666664E-4</v>
      </c>
    </row>
    <row r="69" spans="1:5" x14ac:dyDescent="0.2">
      <c r="A69" s="5">
        <v>42905</v>
      </c>
      <c r="B69" s="6">
        <v>6.4235993670342939E-3</v>
      </c>
      <c r="C69" s="8">
        <v>6.4235993670342939E-3</v>
      </c>
      <c r="D69" s="7">
        <v>-3.29E-3</v>
      </c>
      <c r="E69" s="13">
        <f t="shared" si="3"/>
        <v>-2.7416666666666664E-4</v>
      </c>
    </row>
    <row r="70" spans="1:5" x14ac:dyDescent="0.2">
      <c r="A70" s="5">
        <v>42906</v>
      </c>
      <c r="B70" s="6">
        <v>-3.0439959324064514E-3</v>
      </c>
      <c r="C70" s="8">
        <v>-3.0439959324064514E-3</v>
      </c>
      <c r="D70" s="7">
        <v>-3.29E-3</v>
      </c>
      <c r="E70" s="13">
        <f t="shared" si="3"/>
        <v>-2.7416666666666664E-4</v>
      </c>
    </row>
    <row r="71" spans="1:5" x14ac:dyDescent="0.2">
      <c r="A71" s="5">
        <v>42907</v>
      </c>
      <c r="B71" s="6">
        <v>-2.1133688784978899E-3</v>
      </c>
      <c r="C71" s="8">
        <v>-2.1133688784978899E-3</v>
      </c>
      <c r="D71" s="7">
        <v>-3.29E-3</v>
      </c>
      <c r="E71" s="13">
        <f t="shared" si="3"/>
        <v>-2.7416666666666664E-4</v>
      </c>
    </row>
    <row r="72" spans="1:5" x14ac:dyDescent="0.2">
      <c r="A72" s="5">
        <v>42908</v>
      </c>
      <c r="B72" s="6">
        <v>-1.1321929011964826E-4</v>
      </c>
      <c r="C72" s="8">
        <v>-1.1321929011964826E-4</v>
      </c>
      <c r="D72" s="7">
        <v>-3.3E-3</v>
      </c>
      <c r="E72" s="13">
        <f t="shared" si="3"/>
        <v>-2.7499999999999996E-4</v>
      </c>
    </row>
    <row r="73" spans="1:5" x14ac:dyDescent="0.2">
      <c r="A73" s="5">
        <v>42909</v>
      </c>
      <c r="B73" s="6">
        <v>-1.1517881268457986E-3</v>
      </c>
      <c r="C73" s="8">
        <v>-1.1517881268457986E-3</v>
      </c>
      <c r="D73" s="7">
        <v>-3.31E-3</v>
      </c>
      <c r="E73" s="13">
        <f t="shared" si="3"/>
        <v>-2.7583333333333333E-4</v>
      </c>
    </row>
    <row r="74" spans="1:5" x14ac:dyDescent="0.2">
      <c r="A74" s="5">
        <v>42912</v>
      </c>
      <c r="B74" s="6">
        <v>2.3977912354302688E-3</v>
      </c>
      <c r="C74" s="8">
        <v>2.3977912354302688E-3</v>
      </c>
      <c r="D74" s="7">
        <v>-3.31E-3</v>
      </c>
      <c r="E74" s="13">
        <f t="shared" si="3"/>
        <v>-2.7583333333333333E-4</v>
      </c>
    </row>
    <row r="75" spans="1:5" x14ac:dyDescent="0.2">
      <c r="A75" s="5">
        <v>42913</v>
      </c>
      <c r="B75" s="6">
        <v>-8.5401875716614173E-3</v>
      </c>
      <c r="C75" s="8">
        <v>-8.5401875716614173E-3</v>
      </c>
      <c r="D75" s="7">
        <v>-3.31E-3</v>
      </c>
      <c r="E75" s="13">
        <f t="shared" si="3"/>
        <v>-2.7583333333333333E-4</v>
      </c>
    </row>
    <row r="76" spans="1:5" x14ac:dyDescent="0.2">
      <c r="A76" s="5">
        <v>42914</v>
      </c>
      <c r="B76" s="6">
        <v>-1.8810192987291918E-3</v>
      </c>
      <c r="C76" s="8">
        <v>-1.8810192987291918E-3</v>
      </c>
      <c r="D76" s="7">
        <v>-3.31E-3</v>
      </c>
      <c r="E76" s="13">
        <f t="shared" si="3"/>
        <v>-2.7583333333333333E-4</v>
      </c>
    </row>
    <row r="77" spans="1:5" x14ac:dyDescent="0.2">
      <c r="A77" s="5">
        <v>42915</v>
      </c>
      <c r="B77" s="6">
        <v>-8.6300748501303426E-3</v>
      </c>
      <c r="C77" s="8">
        <v>-8.6300748501303426E-3</v>
      </c>
      <c r="D77" s="7">
        <v>-3.31E-3</v>
      </c>
      <c r="E77" s="13">
        <f t="shared" si="3"/>
        <v>-2.7583333333333333E-4</v>
      </c>
    </row>
    <row r="78" spans="1:5" x14ac:dyDescent="0.2">
      <c r="A78" s="5">
        <v>42916</v>
      </c>
      <c r="B78" s="6">
        <v>-2.622099160402902E-3</v>
      </c>
      <c r="C78" s="8">
        <v>-2.622099160402902E-3</v>
      </c>
      <c r="D78" s="7">
        <v>-3.31E-3</v>
      </c>
      <c r="E78" s="13">
        <f t="shared" si="3"/>
        <v>-2.7583333333333333E-4</v>
      </c>
    </row>
    <row r="79" spans="1:5" x14ac:dyDescent="0.2">
      <c r="A79" s="5">
        <v>42919</v>
      </c>
      <c r="B79" s="6">
        <v>4.6250875997662089E-3</v>
      </c>
      <c r="C79" s="8">
        <v>4.6250875997662089E-3</v>
      </c>
      <c r="D79" s="7">
        <v>-3.31E-3</v>
      </c>
      <c r="E79" s="13">
        <f t="shared" si="3"/>
        <v>-2.7583333333333333E-4</v>
      </c>
    </row>
    <row r="80" spans="1:5" x14ac:dyDescent="0.2">
      <c r="A80" s="5">
        <v>42920</v>
      </c>
      <c r="B80" s="6">
        <v>-1.9394071545114633E-3</v>
      </c>
      <c r="C80" s="8">
        <v>-1.9394071545114633E-3</v>
      </c>
      <c r="D80" s="7">
        <v>-3.29E-3</v>
      </c>
      <c r="E80" s="13">
        <f t="shared" si="3"/>
        <v>-2.7416666666666664E-4</v>
      </c>
    </row>
    <row r="81" spans="1:5" x14ac:dyDescent="0.2">
      <c r="A81" s="5">
        <v>42921</v>
      </c>
      <c r="B81" s="6">
        <v>2.0531555413505487E-3</v>
      </c>
      <c r="C81" s="8">
        <v>2.0531555413505487E-3</v>
      </c>
      <c r="D81" s="7">
        <v>-3.31E-3</v>
      </c>
      <c r="E81" s="13">
        <f t="shared" si="3"/>
        <v>-2.7583333333333333E-4</v>
      </c>
    </row>
    <row r="82" spans="1:5" x14ac:dyDescent="0.2">
      <c r="A82" s="5">
        <v>42922</v>
      </c>
      <c r="B82" s="6">
        <v>-5.658565537882132E-3</v>
      </c>
      <c r="C82" s="8">
        <v>-5.658565537882132E-3</v>
      </c>
      <c r="D82" s="7">
        <v>-3.3E-3</v>
      </c>
      <c r="E82" s="13">
        <f t="shared" si="3"/>
        <v>-2.7499999999999996E-4</v>
      </c>
    </row>
    <row r="83" spans="1:5" x14ac:dyDescent="0.2">
      <c r="A83" s="5">
        <v>42923</v>
      </c>
      <c r="B83" s="6">
        <v>-1.0126361129023653E-3</v>
      </c>
      <c r="C83" s="8">
        <v>-1.0126361129023653E-3</v>
      </c>
      <c r="D83" s="7">
        <v>-3.31E-3</v>
      </c>
      <c r="E83" s="13">
        <f t="shared" si="3"/>
        <v>-2.7583333333333333E-4</v>
      </c>
    </row>
    <row r="84" spans="1:5" x14ac:dyDescent="0.2">
      <c r="A84" s="5">
        <v>42926</v>
      </c>
      <c r="B84" s="6">
        <v>3.6909272953935535E-3</v>
      </c>
      <c r="C84" s="8">
        <v>3.6909272953935535E-3</v>
      </c>
      <c r="D84" s="7">
        <v>-3.31E-3</v>
      </c>
      <c r="E84" s="13">
        <f t="shared" si="3"/>
        <v>-2.7583333333333333E-4</v>
      </c>
    </row>
    <row r="85" spans="1:5" x14ac:dyDescent="0.2">
      <c r="A85" s="5">
        <v>42927</v>
      </c>
      <c r="B85" s="6">
        <v>-2.5088642709443221E-3</v>
      </c>
      <c r="C85" s="8">
        <v>-2.5088642709443221E-3</v>
      </c>
      <c r="D85" s="7">
        <v>-3.31E-3</v>
      </c>
      <c r="E85" s="13">
        <f t="shared" si="3"/>
        <v>-2.7583333333333333E-4</v>
      </c>
    </row>
    <row r="86" spans="1:5" x14ac:dyDescent="0.2">
      <c r="A86" s="5">
        <v>42928</v>
      </c>
      <c r="B86" s="6">
        <v>8.6747733147578554E-3</v>
      </c>
      <c r="C86" s="8">
        <v>8.6747733147578554E-3</v>
      </c>
      <c r="D86" s="7">
        <v>-3.31E-3</v>
      </c>
      <c r="E86" s="13">
        <f t="shared" si="3"/>
        <v>-2.7583333333333333E-4</v>
      </c>
    </row>
    <row r="87" spans="1:5" x14ac:dyDescent="0.2">
      <c r="A87" s="5">
        <v>42929</v>
      </c>
      <c r="B87" s="6">
        <v>6.2841490394109911E-3</v>
      </c>
      <c r="C87" s="8">
        <v>6.2841490394109911E-3</v>
      </c>
      <c r="D87" s="7">
        <v>-3.31E-3</v>
      </c>
      <c r="E87" s="13">
        <f t="shared" si="3"/>
        <v>-2.7583333333333333E-4</v>
      </c>
    </row>
    <row r="88" spans="1:5" x14ac:dyDescent="0.2">
      <c r="A88" s="5">
        <v>42930</v>
      </c>
      <c r="B88" s="6">
        <v>1.4808232893297468E-3</v>
      </c>
      <c r="C88" s="8">
        <v>1.4808232893297468E-3</v>
      </c>
      <c r="D88" s="7">
        <v>-3.31E-3</v>
      </c>
      <c r="E88" s="13">
        <f t="shared" si="3"/>
        <v>-2.7583333333333333E-4</v>
      </c>
    </row>
    <row r="89" spans="1:5" x14ac:dyDescent="0.2">
      <c r="A89" s="5">
        <v>42933</v>
      </c>
      <c r="B89" s="6">
        <v>7.8580268494543581E-4</v>
      </c>
      <c r="C89" s="8">
        <v>7.8580268494543581E-4</v>
      </c>
      <c r="D89" s="7">
        <v>-3.3E-3</v>
      </c>
      <c r="E89" s="13">
        <f t="shared" si="3"/>
        <v>-2.7499999999999996E-4</v>
      </c>
    </row>
    <row r="90" spans="1:5" x14ac:dyDescent="0.2">
      <c r="A90" s="5">
        <v>42934</v>
      </c>
      <c r="B90" s="6">
        <v>-5.9957021619307937E-3</v>
      </c>
      <c r="C90" s="8">
        <v>-5.9957021619307937E-3</v>
      </c>
      <c r="D90" s="7">
        <v>-3.31E-3</v>
      </c>
      <c r="E90" s="13">
        <f t="shared" si="3"/>
        <v>-2.7583333333333333E-4</v>
      </c>
    </row>
    <row r="91" spans="1:5" x14ac:dyDescent="0.2">
      <c r="A91" s="5">
        <v>42935</v>
      </c>
      <c r="B91" s="6">
        <v>5.3130260666676143E-3</v>
      </c>
      <c r="C91" s="8">
        <v>5.3130260666676143E-3</v>
      </c>
      <c r="D91" s="7">
        <v>-3.32E-3</v>
      </c>
      <c r="E91" s="13">
        <f t="shared" si="3"/>
        <v>-2.7666666666666665E-4</v>
      </c>
    </row>
    <row r="92" spans="1:5" x14ac:dyDescent="0.2">
      <c r="A92" s="5">
        <v>42936</v>
      </c>
      <c r="B92" s="6">
        <v>-1.408334415129775E-3</v>
      </c>
      <c r="C92" s="8">
        <v>-1.408334415129775E-3</v>
      </c>
      <c r="D92" s="7">
        <v>-3.32E-3</v>
      </c>
      <c r="E92" s="13">
        <f t="shared" si="3"/>
        <v>-2.7666666666666665E-4</v>
      </c>
    </row>
    <row r="93" spans="1:5" x14ac:dyDescent="0.2">
      <c r="A93" s="5">
        <v>42937</v>
      </c>
      <c r="B93" s="6">
        <v>-7.2375283989202233E-3</v>
      </c>
      <c r="C93" s="8">
        <v>-7.2375283989202233E-3</v>
      </c>
      <c r="D93" s="7">
        <v>-3.31E-3</v>
      </c>
      <c r="E93" s="13">
        <f t="shared" si="3"/>
        <v>-2.7583333333333333E-4</v>
      </c>
    </row>
    <row r="94" spans="1:5" x14ac:dyDescent="0.2">
      <c r="A94" s="5">
        <v>42940</v>
      </c>
      <c r="B94" s="6">
        <v>-1.1227355578676823E-3</v>
      </c>
      <c r="C94" s="8">
        <v>-1.1227355578676823E-3</v>
      </c>
      <c r="D94" s="7">
        <v>-3.29E-3</v>
      </c>
      <c r="E94" s="13">
        <f t="shared" si="3"/>
        <v>-2.7416666666666664E-4</v>
      </c>
    </row>
    <row r="95" spans="1:5" x14ac:dyDescent="0.2">
      <c r="A95" s="5">
        <v>42941</v>
      </c>
      <c r="B95" s="6">
        <v>1.321585560426719E-3</v>
      </c>
      <c r="C95" s="8">
        <v>1.321585560426719E-3</v>
      </c>
      <c r="D95" s="7">
        <v>-3.29E-3</v>
      </c>
      <c r="E95" s="13">
        <f t="shared" si="3"/>
        <v>-2.7416666666666664E-4</v>
      </c>
    </row>
    <row r="96" spans="1:5" x14ac:dyDescent="0.2">
      <c r="A96" s="5">
        <v>42942</v>
      </c>
      <c r="B96" s="6">
        <v>2.5832676557380196E-3</v>
      </c>
      <c r="C96" s="8">
        <v>2.5832676557380196E-3</v>
      </c>
      <c r="D96" s="7">
        <v>-3.3E-3</v>
      </c>
      <c r="E96" s="13">
        <f t="shared" si="3"/>
        <v>-2.7499999999999996E-4</v>
      </c>
    </row>
    <row r="97" spans="1:5" x14ac:dyDescent="0.2">
      <c r="A97" s="5">
        <v>42943</v>
      </c>
      <c r="B97" s="6">
        <v>1.5965222116864908E-4</v>
      </c>
      <c r="C97" s="8">
        <v>1.5965222116864908E-4</v>
      </c>
      <c r="D97" s="7">
        <v>-3.29E-3</v>
      </c>
      <c r="E97" s="13">
        <f t="shared" si="3"/>
        <v>-2.7416666666666664E-4</v>
      </c>
    </row>
    <row r="98" spans="1:5" x14ac:dyDescent="0.2">
      <c r="A98" s="5">
        <v>42944</v>
      </c>
      <c r="B98" s="6">
        <v>-7.2845555025808917E-3</v>
      </c>
      <c r="C98" s="8">
        <v>-7.2845555025808917E-3</v>
      </c>
      <c r="D98" s="7">
        <v>-3.29E-3</v>
      </c>
      <c r="E98" s="13">
        <f t="shared" si="3"/>
        <v>-2.7416666666666664E-4</v>
      </c>
    </row>
    <row r="99" spans="1:5" x14ac:dyDescent="0.2">
      <c r="A99" s="5">
        <v>42947</v>
      </c>
      <c r="B99" s="6">
        <v>-2.7396157983242686E-3</v>
      </c>
      <c r="C99" s="8">
        <v>-2.7396157983242686E-3</v>
      </c>
      <c r="D99" s="7">
        <v>-3.3E-3</v>
      </c>
      <c r="E99" s="13">
        <f t="shared" si="3"/>
        <v>-2.7499999999999996E-4</v>
      </c>
    </row>
    <row r="100" spans="1:5" x14ac:dyDescent="0.2">
      <c r="A100" s="5">
        <v>42948</v>
      </c>
      <c r="B100" s="6">
        <v>3.3672670678130956E-3</v>
      </c>
      <c r="C100" s="8">
        <v>3.3672670678130956E-3</v>
      </c>
      <c r="D100" s="7">
        <v>-3.31E-3</v>
      </c>
      <c r="E100" s="13">
        <f t="shared" si="3"/>
        <v>-2.7583333333333333E-4</v>
      </c>
    </row>
    <row r="101" spans="1:5" x14ac:dyDescent="0.2">
      <c r="A101" s="5">
        <v>42949</v>
      </c>
      <c r="B101" s="6">
        <v>-2.5843970397677607E-3</v>
      </c>
      <c r="C101" s="8">
        <v>-2.5843970397677607E-3</v>
      </c>
      <c r="D101" s="7">
        <v>-3.31E-3</v>
      </c>
      <c r="E101" s="13">
        <f t="shared" si="3"/>
        <v>-2.7583333333333333E-4</v>
      </c>
    </row>
    <row r="102" spans="1:5" x14ac:dyDescent="0.2">
      <c r="A102" s="5">
        <v>42950</v>
      </c>
      <c r="B102" s="6">
        <v>-5.3529331508594957E-4</v>
      </c>
      <c r="C102" s="8">
        <v>-5.3529331508594957E-4</v>
      </c>
      <c r="D102" s="7">
        <v>-3.29E-3</v>
      </c>
      <c r="E102" s="13">
        <f t="shared" si="3"/>
        <v>-2.7416666666666664E-4</v>
      </c>
    </row>
    <row r="103" spans="1:5" x14ac:dyDescent="0.2">
      <c r="A103" s="5">
        <v>42951</v>
      </c>
      <c r="B103" s="6">
        <v>6.0942738820617404E-3</v>
      </c>
      <c r="C103" s="8">
        <v>6.0942738820617404E-3</v>
      </c>
      <c r="D103" s="7">
        <v>-3.29E-3</v>
      </c>
      <c r="E103" s="13">
        <f t="shared" si="3"/>
        <v>-2.7416666666666664E-4</v>
      </c>
    </row>
    <row r="104" spans="1:5" x14ac:dyDescent="0.2">
      <c r="A104" s="5">
        <v>42954</v>
      </c>
      <c r="B104" s="6">
        <v>4.3710133238228366E-4</v>
      </c>
      <c r="C104" s="8">
        <v>4.3710133238228366E-4</v>
      </c>
      <c r="D104" s="7">
        <v>-3.2799999999999999E-3</v>
      </c>
      <c r="E104" s="13">
        <f t="shared" si="3"/>
        <v>-2.7333333333333333E-4</v>
      </c>
    </row>
    <row r="105" spans="1:5" x14ac:dyDescent="0.2">
      <c r="A105" s="5">
        <v>42955</v>
      </c>
      <c r="B105" s="6">
        <v>7.2082142756868528E-4</v>
      </c>
      <c r="C105" s="8">
        <v>7.2082142756868528E-4</v>
      </c>
      <c r="D105" s="7">
        <v>-3.2799999999999999E-3</v>
      </c>
      <c r="E105" s="13">
        <f t="shared" si="3"/>
        <v>-2.7333333333333333E-4</v>
      </c>
    </row>
    <row r="106" spans="1:5" x14ac:dyDescent="0.2">
      <c r="A106" s="5">
        <v>42956</v>
      </c>
      <c r="B106" s="6">
        <v>-4.0104325612275726E-3</v>
      </c>
      <c r="C106" s="8">
        <v>-4.0104325612275726E-3</v>
      </c>
      <c r="D106" s="7">
        <v>-3.2799999999999999E-3</v>
      </c>
      <c r="E106" s="13">
        <f t="shared" si="3"/>
        <v>-2.7333333333333333E-4</v>
      </c>
    </row>
    <row r="107" spans="1:5" x14ac:dyDescent="0.2">
      <c r="A107" s="5">
        <v>42957</v>
      </c>
      <c r="B107" s="6">
        <v>-7.1768120260352619E-3</v>
      </c>
      <c r="C107" s="8">
        <v>-7.1768120260352619E-3</v>
      </c>
      <c r="D107" s="7">
        <v>-3.29E-3</v>
      </c>
      <c r="E107" s="13">
        <f t="shared" si="3"/>
        <v>-2.7416666666666664E-4</v>
      </c>
    </row>
    <row r="108" spans="1:5" x14ac:dyDescent="0.2">
      <c r="A108" s="5">
        <v>42958</v>
      </c>
      <c r="B108" s="6">
        <v>-8.788517348107483E-3</v>
      </c>
      <c r="C108" s="8">
        <v>-8.788517348107483E-3</v>
      </c>
      <c r="D108" s="7">
        <v>-3.29E-3</v>
      </c>
      <c r="E108" s="13">
        <f t="shared" si="3"/>
        <v>-2.7416666666666664E-4</v>
      </c>
    </row>
    <row r="109" spans="1:5" x14ac:dyDescent="0.2">
      <c r="A109" s="5">
        <v>42961</v>
      </c>
      <c r="B109" s="6">
        <v>7.4779202411030532E-3</v>
      </c>
      <c r="C109" s="8">
        <v>7.4779202411030532E-3</v>
      </c>
      <c r="D109" s="7">
        <v>-3.29E-3</v>
      </c>
      <c r="E109" s="13">
        <f t="shared" si="3"/>
        <v>-2.7416666666666664E-4</v>
      </c>
    </row>
    <row r="110" spans="1:5" x14ac:dyDescent="0.2">
      <c r="A110" s="5">
        <v>42962</v>
      </c>
      <c r="B110" s="6">
        <v>1.0260904577930052E-3</v>
      </c>
      <c r="C110" s="8">
        <v>1.0260904577930052E-3</v>
      </c>
      <c r="D110" s="7">
        <v>-3.29E-3</v>
      </c>
      <c r="E110" s="13">
        <f t="shared" si="3"/>
        <v>-2.7416666666666664E-4</v>
      </c>
    </row>
    <row r="111" spans="1:5" x14ac:dyDescent="0.2">
      <c r="A111" s="5">
        <v>42963</v>
      </c>
      <c r="B111" s="6">
        <v>4.8861161182280899E-3</v>
      </c>
      <c r="C111" s="8">
        <v>4.8861161182280899E-3</v>
      </c>
      <c r="D111" s="7">
        <v>-3.29E-3</v>
      </c>
      <c r="E111" s="13">
        <f t="shared" si="3"/>
        <v>-2.7416666666666664E-4</v>
      </c>
    </row>
    <row r="112" spans="1:5" x14ac:dyDescent="0.2">
      <c r="A112" s="5">
        <v>42964</v>
      </c>
      <c r="B112" s="6">
        <v>-4.0463737408221734E-3</v>
      </c>
      <c r="C112" s="8">
        <v>-4.0463737408221734E-3</v>
      </c>
      <c r="D112" s="7">
        <v>-3.29E-3</v>
      </c>
      <c r="E112" s="13">
        <f t="shared" si="3"/>
        <v>-2.7416666666666664E-4</v>
      </c>
    </row>
    <row r="113" spans="1:5" x14ac:dyDescent="0.2">
      <c r="A113" s="5">
        <v>42965</v>
      </c>
      <c r="B113" s="6">
        <v>-4.6286932810500891E-3</v>
      </c>
      <c r="C113" s="8">
        <v>-4.6286932810500891E-3</v>
      </c>
      <c r="D113" s="7">
        <v>-3.29E-3</v>
      </c>
      <c r="E113" s="13">
        <f t="shared" si="3"/>
        <v>-2.7416666666666664E-4</v>
      </c>
    </row>
    <row r="114" spans="1:5" x14ac:dyDescent="0.2">
      <c r="A114" s="5">
        <v>42968</v>
      </c>
      <c r="B114" s="6">
        <v>-2.2144204999079431E-3</v>
      </c>
      <c r="C114" s="8">
        <v>-2.2144204999079431E-3</v>
      </c>
      <c r="D114" s="7">
        <v>-3.29E-3</v>
      </c>
      <c r="E114" s="13">
        <f t="shared" si="3"/>
        <v>-2.7416666666666664E-4</v>
      </c>
    </row>
    <row r="115" spans="1:5" x14ac:dyDescent="0.2">
      <c r="A115" s="5">
        <v>42969</v>
      </c>
      <c r="B115" s="6">
        <v>6.1994182522548957E-3</v>
      </c>
      <c r="C115" s="8">
        <v>6.1994182522548957E-3</v>
      </c>
      <c r="D115" s="7">
        <v>-3.2799999999999999E-3</v>
      </c>
      <c r="E115" s="13">
        <f t="shared" si="3"/>
        <v>-2.7333333333333333E-4</v>
      </c>
    </row>
    <row r="116" spans="1:5" x14ac:dyDescent="0.2">
      <c r="A116" s="5">
        <v>42970</v>
      </c>
      <c r="B116" s="6">
        <v>-2.7424378291772689E-3</v>
      </c>
      <c r="C116" s="8">
        <v>-2.7424378291772689E-3</v>
      </c>
      <c r="D116" s="7">
        <v>-3.29E-3</v>
      </c>
      <c r="E116" s="13">
        <f t="shared" si="3"/>
        <v>-2.7416666666666664E-4</v>
      </c>
    </row>
    <row r="117" spans="1:5" x14ac:dyDescent="0.2">
      <c r="A117" s="5">
        <v>42971</v>
      </c>
      <c r="B117" s="6">
        <v>8.6922456760452071E-4</v>
      </c>
      <c r="C117" s="8">
        <v>8.6922456760452071E-4</v>
      </c>
      <c r="D117" s="7">
        <v>-3.29E-3</v>
      </c>
      <c r="E117" s="13">
        <f t="shared" si="3"/>
        <v>-2.7416666666666664E-4</v>
      </c>
    </row>
    <row r="118" spans="1:5" x14ac:dyDescent="0.2">
      <c r="A118" s="5">
        <v>42972</v>
      </c>
      <c r="B118" s="6">
        <v>-2.277929986919891E-3</v>
      </c>
      <c r="C118" s="8">
        <v>-2.277929986919891E-3</v>
      </c>
      <c r="D118" s="7">
        <v>-3.29E-3</v>
      </c>
      <c r="E118" s="13">
        <f t="shared" si="3"/>
        <v>-2.7416666666666664E-4</v>
      </c>
    </row>
    <row r="119" spans="1:5" x14ac:dyDescent="0.2">
      <c r="A119" s="5">
        <v>42975</v>
      </c>
      <c r="B119" s="6">
        <v>-3.0023675672589123E-3</v>
      </c>
      <c r="C119" s="8">
        <v>-3.0023675672589123E-3</v>
      </c>
      <c r="D119" s="7">
        <v>-3.29E-3</v>
      </c>
      <c r="E119" s="13">
        <f t="shared" si="3"/>
        <v>-2.7416666666666664E-4</v>
      </c>
    </row>
    <row r="120" spans="1:5" x14ac:dyDescent="0.2">
      <c r="A120" s="5">
        <v>42976</v>
      </c>
      <c r="B120" s="6">
        <v>-7.7121117510339232E-3</v>
      </c>
      <c r="C120" s="8">
        <v>-8.198489790909428E-3</v>
      </c>
      <c r="D120" s="7">
        <v>-3.3E-3</v>
      </c>
      <c r="E120" s="13">
        <f t="shared" si="3"/>
        <v>-2.7499999999999996E-4</v>
      </c>
    </row>
    <row r="121" spans="1:5" x14ac:dyDescent="0.2">
      <c r="A121" s="5">
        <v>42977</v>
      </c>
      <c r="B121" s="6">
        <v>5.9664494303941495E-3</v>
      </c>
      <c r="C121" s="8">
        <v>5.2946752210662135E-3</v>
      </c>
      <c r="D121" s="7">
        <v>-3.3E-3</v>
      </c>
      <c r="E121" s="13">
        <f t="shared" si="3"/>
        <v>-2.7499999999999996E-4</v>
      </c>
    </row>
    <row r="122" spans="1:5" x14ac:dyDescent="0.2">
      <c r="A122" s="5">
        <v>42978</v>
      </c>
      <c r="B122" s="6">
        <v>5.6150461197452817E-3</v>
      </c>
      <c r="C122" s="8">
        <v>4.9961570762692429E-3</v>
      </c>
      <c r="D122" s="7">
        <v>-3.29E-3</v>
      </c>
      <c r="E122" s="13">
        <f t="shared" si="3"/>
        <v>-2.7416666666666664E-4</v>
      </c>
    </row>
    <row r="123" spans="1:5" x14ac:dyDescent="0.2">
      <c r="A123" s="5">
        <v>42979</v>
      </c>
      <c r="B123" s="6">
        <v>4.6284194257484312E-3</v>
      </c>
      <c r="C123" s="8">
        <v>4.1018129537758871E-3</v>
      </c>
      <c r="D123" s="7">
        <v>-3.29E-3</v>
      </c>
      <c r="E123" s="13">
        <f t="shared" si="3"/>
        <v>-2.7416666666666664E-4</v>
      </c>
    </row>
    <row r="124" spans="1:5" x14ac:dyDescent="0.2">
      <c r="A124" s="5">
        <v>42982</v>
      </c>
      <c r="B124" s="6">
        <v>-2.501186565747382E-3</v>
      </c>
      <c r="C124" s="8">
        <v>-2.0805557872660843E-3</v>
      </c>
      <c r="D124" s="7">
        <v>-3.29E-3</v>
      </c>
      <c r="E124" s="13">
        <f t="shared" si="3"/>
        <v>-2.7416666666666664E-4</v>
      </c>
    </row>
    <row r="125" spans="1:5" x14ac:dyDescent="0.2">
      <c r="A125" s="5">
        <v>42983</v>
      </c>
      <c r="B125" s="6">
        <v>-1.0708887834950387E-3</v>
      </c>
      <c r="C125" s="8">
        <v>-7.4805440521915636E-4</v>
      </c>
      <c r="D125" s="7">
        <v>-3.29E-3</v>
      </c>
      <c r="E125" s="13">
        <f t="shared" si="3"/>
        <v>-2.7416666666666664E-4</v>
      </c>
    </row>
    <row r="126" spans="1:5" x14ac:dyDescent="0.2">
      <c r="A126" s="5">
        <v>42984</v>
      </c>
      <c r="B126" s="6">
        <v>-9.0474026974152189E-4</v>
      </c>
      <c r="C126" s="8">
        <v>-1.0812692252699465E-3</v>
      </c>
      <c r="D126" s="7">
        <v>-3.29E-3</v>
      </c>
      <c r="E126" s="13">
        <f t="shared" si="3"/>
        <v>-2.7416666666666664E-4</v>
      </c>
    </row>
    <row r="127" spans="1:5" x14ac:dyDescent="0.2">
      <c r="A127" s="5">
        <v>42985</v>
      </c>
      <c r="B127" s="6">
        <v>2.0761497612207247E-3</v>
      </c>
      <c r="C127" s="8">
        <v>1.8819050046162476E-3</v>
      </c>
      <c r="D127" s="7">
        <v>-3.3E-3</v>
      </c>
      <c r="E127" s="13">
        <f t="shared" si="3"/>
        <v>-2.7499999999999996E-4</v>
      </c>
    </row>
    <row r="128" spans="1:5" x14ac:dyDescent="0.2">
      <c r="A128" s="5">
        <v>42986</v>
      </c>
      <c r="B128" s="6">
        <v>1.2943833789831327E-3</v>
      </c>
      <c r="C128" s="8">
        <v>1.3258583534813365E-3</v>
      </c>
      <c r="D128" s="7">
        <v>-3.31E-3</v>
      </c>
      <c r="E128" s="13">
        <f t="shared" si="3"/>
        <v>-2.7583333333333333E-4</v>
      </c>
    </row>
    <row r="129" spans="1:5" x14ac:dyDescent="0.2">
      <c r="A129" s="5">
        <v>42989</v>
      </c>
      <c r="B129" s="6">
        <v>7.5979483843975348E-3</v>
      </c>
      <c r="C129" s="8">
        <v>6.4625047287267048E-3</v>
      </c>
      <c r="D129" s="7">
        <v>-3.31E-3</v>
      </c>
      <c r="E129" s="13">
        <f t="shared" si="3"/>
        <v>-2.7583333333333333E-4</v>
      </c>
    </row>
    <row r="130" spans="1:5" x14ac:dyDescent="0.2">
      <c r="A130" s="5">
        <v>42990</v>
      </c>
      <c r="B130" s="6">
        <v>4.3865982745598942E-3</v>
      </c>
      <c r="C130" s="8">
        <v>3.853381796542832E-3</v>
      </c>
      <c r="D130" s="7">
        <v>-3.3E-3</v>
      </c>
      <c r="E130" s="13">
        <f t="shared" si="3"/>
        <v>-2.7499999999999996E-4</v>
      </c>
    </row>
    <row r="131" spans="1:5" x14ac:dyDescent="0.2">
      <c r="A131" s="5">
        <v>42991</v>
      </c>
      <c r="B131" s="6">
        <v>4.575356096865324E-4</v>
      </c>
      <c r="C131" s="8">
        <v>3.4463975456460187E-4</v>
      </c>
      <c r="D131" s="7">
        <v>-3.29E-3</v>
      </c>
      <c r="E131" s="13">
        <f t="shared" ref="E131:E194" si="4">D131*(1/12)</f>
        <v>-2.7416666666666664E-4</v>
      </c>
    </row>
    <row r="132" spans="1:5" x14ac:dyDescent="0.2">
      <c r="A132" s="5">
        <v>42992</v>
      </c>
      <c r="B132" s="6">
        <v>1.2150646479214267E-3</v>
      </c>
      <c r="C132" s="8">
        <v>1.0273737956385659E-3</v>
      </c>
      <c r="D132" s="7">
        <v>-3.29E-3</v>
      </c>
      <c r="E132" s="13">
        <f t="shared" si="4"/>
        <v>-2.7416666666666664E-4</v>
      </c>
    </row>
    <row r="133" spans="1:5" x14ac:dyDescent="0.2">
      <c r="A133" s="5">
        <v>42993</v>
      </c>
      <c r="B133" s="6">
        <v>-2.1532169377391774E-4</v>
      </c>
      <c r="C133" s="8">
        <v>1.3443087256883289E-4</v>
      </c>
      <c r="D133" s="7">
        <v>-3.29E-3</v>
      </c>
      <c r="E133" s="13">
        <f t="shared" si="4"/>
        <v>-2.7416666666666664E-4</v>
      </c>
    </row>
    <row r="134" spans="1:5" x14ac:dyDescent="0.2">
      <c r="A134" s="5">
        <v>42996</v>
      </c>
      <c r="B134" s="6">
        <v>3.3377334296622596E-3</v>
      </c>
      <c r="C134" s="8">
        <v>3.3377334296622596E-3</v>
      </c>
      <c r="D134" s="7">
        <v>-3.29E-3</v>
      </c>
      <c r="E134" s="13">
        <f t="shared" si="4"/>
        <v>-2.7416666666666664E-4</v>
      </c>
    </row>
    <row r="135" spans="1:5" x14ac:dyDescent="0.2">
      <c r="A135" s="5">
        <v>42997</v>
      </c>
      <c r="B135" s="6">
        <v>-3.3817377216638356E-5</v>
      </c>
      <c r="C135" s="8">
        <v>-3.3817377216638356E-5</v>
      </c>
      <c r="D135" s="7">
        <v>-3.3E-3</v>
      </c>
      <c r="E135" s="13">
        <f t="shared" si="4"/>
        <v>-2.7499999999999996E-4</v>
      </c>
    </row>
    <row r="136" spans="1:5" x14ac:dyDescent="0.2">
      <c r="A136" s="5">
        <v>42998</v>
      </c>
      <c r="B136" s="6">
        <v>6.0592024117100962E-4</v>
      </c>
      <c r="C136" s="8">
        <v>6.0592024117100962E-4</v>
      </c>
      <c r="D136" s="7">
        <v>-3.29E-3</v>
      </c>
      <c r="E136" s="13">
        <f t="shared" si="4"/>
        <v>-2.7416666666666664E-4</v>
      </c>
    </row>
    <row r="137" spans="1:5" x14ac:dyDescent="0.2">
      <c r="A137" s="5">
        <v>42999</v>
      </c>
      <c r="B137" s="6">
        <v>5.4815736270685811E-4</v>
      </c>
      <c r="C137" s="8">
        <v>5.4815736270685811E-4</v>
      </c>
      <c r="D137" s="7">
        <v>-3.3E-3</v>
      </c>
      <c r="E137" s="13">
        <f t="shared" si="4"/>
        <v>-2.7499999999999996E-4</v>
      </c>
    </row>
    <row r="138" spans="1:5" x14ac:dyDescent="0.2">
      <c r="A138" s="5">
        <v>43000</v>
      </c>
      <c r="B138" s="6">
        <v>1.1252738624856207E-3</v>
      </c>
      <c r="C138" s="8">
        <v>1.1252738624856207E-3</v>
      </c>
      <c r="D138" s="7">
        <v>-3.29E-3</v>
      </c>
      <c r="E138" s="13">
        <f t="shared" si="4"/>
        <v>-2.7416666666666664E-4</v>
      </c>
    </row>
    <row r="139" spans="1:5" x14ac:dyDescent="0.2">
      <c r="A139" s="5">
        <v>43003</v>
      </c>
      <c r="B139" s="6">
        <v>8.9708464555382506E-4</v>
      </c>
      <c r="C139" s="8">
        <v>8.9708464555382506E-4</v>
      </c>
      <c r="D139" s="7">
        <v>-3.29E-3</v>
      </c>
      <c r="E139" s="13">
        <f t="shared" si="4"/>
        <v>-2.7416666666666664E-4</v>
      </c>
    </row>
    <row r="140" spans="1:5" x14ac:dyDescent="0.2">
      <c r="A140" s="5">
        <v>43004</v>
      </c>
      <c r="B140" s="6">
        <v>-8.9502328098345352E-5</v>
      </c>
      <c r="C140" s="8">
        <v>-8.9502328098345352E-5</v>
      </c>
      <c r="D140" s="7">
        <v>-3.29E-3</v>
      </c>
      <c r="E140" s="13">
        <f t="shared" si="4"/>
        <v>-2.7416666666666664E-4</v>
      </c>
    </row>
    <row r="141" spans="1:5" x14ac:dyDescent="0.2">
      <c r="A141" s="5">
        <v>43005</v>
      </c>
      <c r="B141" s="6">
        <v>2.5466735060959422E-3</v>
      </c>
      <c r="C141" s="8">
        <v>2.5466735060959422E-3</v>
      </c>
      <c r="D141" s="7">
        <v>-3.29E-3</v>
      </c>
      <c r="E141" s="13">
        <f t="shared" si="4"/>
        <v>-2.7416666666666664E-4</v>
      </c>
    </row>
    <row r="142" spans="1:5" x14ac:dyDescent="0.2">
      <c r="A142" s="5">
        <v>43006</v>
      </c>
      <c r="B142" s="6">
        <v>1.2953437859208883E-3</v>
      </c>
      <c r="C142" s="8">
        <v>1.2953437859208883E-3</v>
      </c>
      <c r="D142" s="7">
        <v>-3.29E-3</v>
      </c>
      <c r="E142" s="13">
        <f t="shared" si="4"/>
        <v>-2.7416666666666664E-4</v>
      </c>
    </row>
    <row r="143" spans="1:5" x14ac:dyDescent="0.2">
      <c r="A143" s="5">
        <v>43007</v>
      </c>
      <c r="B143" s="6">
        <v>4.6159957989613254E-3</v>
      </c>
      <c r="C143" s="8">
        <v>4.6159957989613254E-3</v>
      </c>
      <c r="D143" s="7">
        <v>-3.29E-3</v>
      </c>
      <c r="E143" s="13">
        <f t="shared" si="4"/>
        <v>-2.7416666666666664E-4</v>
      </c>
    </row>
    <row r="144" spans="1:5" x14ac:dyDescent="0.2">
      <c r="A144" s="5">
        <v>43010</v>
      </c>
      <c r="B144" s="6">
        <v>4.2685664791921596E-3</v>
      </c>
      <c r="C144" s="8">
        <v>4.2685664791921596E-3</v>
      </c>
      <c r="D144" s="7">
        <v>-3.29E-3</v>
      </c>
      <c r="E144" s="13">
        <f t="shared" si="4"/>
        <v>-2.7416666666666664E-4</v>
      </c>
    </row>
    <row r="145" spans="1:5" x14ac:dyDescent="0.2">
      <c r="A145" s="5">
        <v>43011</v>
      </c>
      <c r="B145" s="6">
        <v>2.5840738143001474E-3</v>
      </c>
      <c r="C145" s="8">
        <v>2.5840738143001474E-3</v>
      </c>
      <c r="D145" s="7">
        <v>-3.3E-3</v>
      </c>
      <c r="E145" s="13">
        <f t="shared" si="4"/>
        <v>-2.7499999999999996E-4</v>
      </c>
    </row>
    <row r="146" spans="1:5" x14ac:dyDescent="0.2">
      <c r="A146" s="5">
        <v>43012</v>
      </c>
      <c r="B146" s="6">
        <v>2.6767231406665815E-4</v>
      </c>
      <c r="C146" s="8">
        <v>2.6767231406665815E-4</v>
      </c>
      <c r="D146" s="7">
        <v>-3.29E-3</v>
      </c>
      <c r="E146" s="13">
        <f t="shared" si="4"/>
        <v>-2.7416666666666664E-4</v>
      </c>
    </row>
    <row r="147" spans="1:5" x14ac:dyDescent="0.2">
      <c r="A147" s="5">
        <v>43013</v>
      </c>
      <c r="B147" s="6">
        <v>2.1000518344715946E-3</v>
      </c>
      <c r="C147" s="8">
        <v>2.1000518344715946E-3</v>
      </c>
      <c r="D147" s="7">
        <v>-3.29E-3</v>
      </c>
      <c r="E147" s="13">
        <f t="shared" si="4"/>
        <v>-2.7416666666666664E-4</v>
      </c>
    </row>
    <row r="148" spans="1:5" x14ac:dyDescent="0.2">
      <c r="A148" s="5">
        <v>43014</v>
      </c>
      <c r="B148" s="6">
        <v>-2.1729790986118047E-3</v>
      </c>
      <c r="C148" s="8">
        <v>-2.1729790986118047E-3</v>
      </c>
      <c r="D148" s="7">
        <v>-3.29E-3</v>
      </c>
      <c r="E148" s="13">
        <f t="shared" si="4"/>
        <v>-2.7416666666666664E-4</v>
      </c>
    </row>
    <row r="149" spans="1:5" x14ac:dyDescent="0.2">
      <c r="A149" s="5">
        <v>43017</v>
      </c>
      <c r="B149" s="6">
        <v>-9.787875486988451E-5</v>
      </c>
      <c r="C149" s="8">
        <v>-9.787875486988451E-5</v>
      </c>
      <c r="D149" s="7">
        <v>-3.29E-3</v>
      </c>
      <c r="E149" s="13">
        <f t="shared" si="4"/>
        <v>-2.7416666666666664E-4</v>
      </c>
    </row>
    <row r="150" spans="1:5" x14ac:dyDescent="0.2">
      <c r="A150" s="5">
        <v>43018</v>
      </c>
      <c r="B150" s="6">
        <v>7.8582000568427901E-5</v>
      </c>
      <c r="C150" s="8">
        <v>7.8582000568427901E-5</v>
      </c>
      <c r="D150" s="7">
        <v>-3.29E-3</v>
      </c>
      <c r="E150" s="13">
        <f t="shared" si="4"/>
        <v>-2.7416666666666664E-4</v>
      </c>
    </row>
    <row r="151" spans="1:5" x14ac:dyDescent="0.2">
      <c r="A151" s="5">
        <v>43019</v>
      </c>
      <c r="B151" s="6">
        <v>8.3733896585558298E-4</v>
      </c>
      <c r="C151" s="8">
        <v>8.3733896585558298E-4</v>
      </c>
      <c r="D151" s="7">
        <v>-3.29E-3</v>
      </c>
      <c r="E151" s="13">
        <f t="shared" si="4"/>
        <v>-2.7416666666666664E-4</v>
      </c>
    </row>
    <row r="152" spans="1:5" x14ac:dyDescent="0.2">
      <c r="A152" s="5">
        <v>43020</v>
      </c>
      <c r="B152" s="6">
        <v>-4.811792873111731E-4</v>
      </c>
      <c r="C152" s="8">
        <v>-4.811792873111731E-4</v>
      </c>
      <c r="D152" s="7">
        <v>-3.29E-3</v>
      </c>
      <c r="E152" s="13">
        <f t="shared" si="4"/>
        <v>-2.7416666666666664E-4</v>
      </c>
    </row>
    <row r="153" spans="1:5" x14ac:dyDescent="0.2">
      <c r="A153" s="5">
        <v>43021</v>
      </c>
      <c r="B153" s="6">
        <v>1.252839016755436E-3</v>
      </c>
      <c r="C153" s="8">
        <v>1.252839016755436E-3</v>
      </c>
      <c r="D153" s="7">
        <v>-3.29E-3</v>
      </c>
      <c r="E153" s="13">
        <f t="shared" si="4"/>
        <v>-2.7416666666666664E-4</v>
      </c>
    </row>
    <row r="154" spans="1:5" x14ac:dyDescent="0.2">
      <c r="A154" s="5">
        <v>43024</v>
      </c>
      <c r="B154" s="6">
        <v>1.5192647116635261E-3</v>
      </c>
      <c r="C154" s="8">
        <v>1.5192647116635261E-3</v>
      </c>
      <c r="D154" s="7">
        <v>-3.29E-3</v>
      </c>
      <c r="E154" s="13">
        <f t="shared" si="4"/>
        <v>-2.7416666666666664E-4</v>
      </c>
    </row>
    <row r="155" spans="1:5" x14ac:dyDescent="0.2">
      <c r="A155" s="5">
        <v>43025</v>
      </c>
      <c r="B155" s="6">
        <v>-1.390530720380867E-3</v>
      </c>
      <c r="C155" s="8">
        <v>-1.390530720380867E-3</v>
      </c>
      <c r="D155" s="7">
        <v>-3.29E-3</v>
      </c>
      <c r="E155" s="13">
        <f t="shared" si="4"/>
        <v>-2.7416666666666664E-4</v>
      </c>
    </row>
    <row r="156" spans="1:5" x14ac:dyDescent="0.2">
      <c r="A156" s="5">
        <v>43026</v>
      </c>
      <c r="B156" s="6">
        <v>2.0521548774128373E-3</v>
      </c>
      <c r="C156" s="8">
        <v>2.0521548774128373E-3</v>
      </c>
      <c r="D156" s="7">
        <v>-3.29E-3</v>
      </c>
      <c r="E156" s="13">
        <f t="shared" si="4"/>
        <v>-2.7416666666666664E-4</v>
      </c>
    </row>
    <row r="157" spans="1:5" x14ac:dyDescent="0.2">
      <c r="A157" s="5">
        <v>43027</v>
      </c>
      <c r="B157" s="6">
        <v>-5.1914081241158927E-3</v>
      </c>
      <c r="C157" s="8">
        <v>-5.1914081241158927E-3</v>
      </c>
      <c r="D157" s="7">
        <v>-3.29E-3</v>
      </c>
      <c r="E157" s="13">
        <f t="shared" si="4"/>
        <v>-2.7416666666666664E-4</v>
      </c>
    </row>
    <row r="158" spans="1:5" x14ac:dyDescent="0.2">
      <c r="A158" s="5">
        <v>43028</v>
      </c>
      <c r="B158" s="6">
        <v>2.2407829387061096E-3</v>
      </c>
      <c r="C158" s="8">
        <v>2.2407829387061096E-3</v>
      </c>
      <c r="D158" s="7">
        <v>-3.29E-3</v>
      </c>
      <c r="E158" s="13">
        <f t="shared" si="4"/>
        <v>-2.7416666666666664E-4</v>
      </c>
    </row>
    <row r="159" spans="1:5" x14ac:dyDescent="0.2">
      <c r="A159" s="5">
        <v>43031</v>
      </c>
      <c r="B159" s="6">
        <v>1.560558166367132E-3</v>
      </c>
      <c r="C159" s="8">
        <v>1.560558166367132E-3</v>
      </c>
      <c r="D159" s="7">
        <v>-3.29E-3</v>
      </c>
      <c r="E159" s="13">
        <f t="shared" si="4"/>
        <v>-2.7416666666666664E-4</v>
      </c>
    </row>
    <row r="160" spans="1:5" x14ac:dyDescent="0.2">
      <c r="A160" s="5">
        <v>43032</v>
      </c>
      <c r="B160" s="6">
        <v>-2.142992035631508E-3</v>
      </c>
      <c r="C160" s="8">
        <v>-2.142992035631508E-3</v>
      </c>
      <c r="D160" s="7">
        <v>-3.3E-3</v>
      </c>
      <c r="E160" s="13">
        <f t="shared" si="4"/>
        <v>-2.7499999999999996E-4</v>
      </c>
    </row>
    <row r="161" spans="1:5" x14ac:dyDescent="0.2">
      <c r="A161" s="5">
        <v>43033</v>
      </c>
      <c r="B161" s="6">
        <v>-3.0107294058691059E-3</v>
      </c>
      <c r="C161" s="8">
        <v>-3.0107294058691059E-3</v>
      </c>
      <c r="D161" s="7">
        <v>-3.31E-3</v>
      </c>
      <c r="E161" s="13">
        <f t="shared" si="4"/>
        <v>-2.7583333333333333E-4</v>
      </c>
    </row>
    <row r="162" spans="1:5" x14ac:dyDescent="0.2">
      <c r="A162" s="5">
        <v>43034</v>
      </c>
      <c r="B162" s="6">
        <v>5.8864772309465963E-3</v>
      </c>
      <c r="C162" s="8">
        <v>5.8864772309465963E-3</v>
      </c>
      <c r="D162" s="7">
        <v>-3.31E-3</v>
      </c>
      <c r="E162" s="13">
        <f t="shared" si="4"/>
        <v>-2.7583333333333333E-4</v>
      </c>
    </row>
    <row r="163" spans="1:5" x14ac:dyDescent="0.2">
      <c r="A163" s="5">
        <v>43035</v>
      </c>
      <c r="B163" s="6">
        <v>6.7110432939292419E-3</v>
      </c>
      <c r="C163" s="8">
        <v>6.7110432939292419E-3</v>
      </c>
      <c r="D163" s="7">
        <v>-3.31E-3</v>
      </c>
      <c r="E163" s="13">
        <f t="shared" si="4"/>
        <v>-2.7583333333333333E-4</v>
      </c>
    </row>
    <row r="164" spans="1:5" x14ac:dyDescent="0.2">
      <c r="A164" s="5">
        <v>43038</v>
      </c>
      <c r="B164" s="6">
        <v>5.3411100331679506E-4</v>
      </c>
      <c r="C164" s="8">
        <v>5.3411100331679506E-4</v>
      </c>
      <c r="D164" s="7">
        <v>-3.31E-3</v>
      </c>
      <c r="E164" s="13">
        <f t="shared" si="4"/>
        <v>-2.7583333333333333E-4</v>
      </c>
    </row>
    <row r="165" spans="1:5" x14ac:dyDescent="0.2">
      <c r="A165" s="5">
        <v>43039</v>
      </c>
      <c r="B165" s="6">
        <v>2.3371522824520152E-3</v>
      </c>
      <c r="C165" s="8">
        <v>2.3371522824520152E-3</v>
      </c>
      <c r="D165" s="7">
        <v>-3.31E-3</v>
      </c>
      <c r="E165" s="13">
        <f t="shared" si="4"/>
        <v>-2.7583333333333333E-4</v>
      </c>
    </row>
    <row r="166" spans="1:5" x14ac:dyDescent="0.2">
      <c r="A166" s="5">
        <v>43040</v>
      </c>
      <c r="B166" s="6">
        <v>2.4582507921122598E-3</v>
      </c>
      <c r="C166" s="8">
        <v>2.4582507921122598E-3</v>
      </c>
      <c r="D166" s="7">
        <v>-3.29E-3</v>
      </c>
      <c r="E166" s="13">
        <f t="shared" si="4"/>
        <v>-2.7416666666666664E-4</v>
      </c>
    </row>
    <row r="167" spans="1:5" x14ac:dyDescent="0.2">
      <c r="A167" s="5">
        <v>43041</v>
      </c>
      <c r="B167" s="6">
        <v>-2.3057907271838429E-3</v>
      </c>
      <c r="C167" s="8">
        <v>-2.3057907271838429E-3</v>
      </c>
      <c r="D167" s="7">
        <v>-3.29E-3</v>
      </c>
      <c r="E167" s="13">
        <f t="shared" si="4"/>
        <v>-2.7416666666666664E-4</v>
      </c>
    </row>
    <row r="168" spans="1:5" x14ac:dyDescent="0.2">
      <c r="A168" s="5">
        <v>43042</v>
      </c>
      <c r="B168" s="6">
        <v>2.1642247711930462E-3</v>
      </c>
      <c r="C168" s="8">
        <v>2.1642247711930462E-3</v>
      </c>
      <c r="D168" s="7">
        <v>-3.29E-3</v>
      </c>
      <c r="E168" s="13">
        <f t="shared" si="4"/>
        <v>-2.7416666666666664E-4</v>
      </c>
    </row>
    <row r="169" spans="1:5" x14ac:dyDescent="0.2">
      <c r="A169" s="5">
        <v>43045</v>
      </c>
      <c r="B169" s="6">
        <v>2.9727434205861769E-3</v>
      </c>
      <c r="C169" s="8">
        <v>2.9727434205861769E-3</v>
      </c>
      <c r="D169" s="7">
        <v>-3.29E-3</v>
      </c>
      <c r="E169" s="13">
        <f t="shared" si="4"/>
        <v>-2.7416666666666664E-4</v>
      </c>
    </row>
    <row r="170" spans="1:5" x14ac:dyDescent="0.2">
      <c r="A170" s="5">
        <v>43046</v>
      </c>
      <c r="B170" s="6">
        <v>-1.9816425198710963E-3</v>
      </c>
      <c r="C170" s="8">
        <v>-1.9816425198710963E-3</v>
      </c>
      <c r="D170" s="7">
        <v>-3.29E-3</v>
      </c>
      <c r="E170" s="13">
        <f t="shared" si="4"/>
        <v>-2.7416666666666664E-4</v>
      </c>
    </row>
    <row r="171" spans="1:5" x14ac:dyDescent="0.2">
      <c r="A171" s="5">
        <v>43047</v>
      </c>
      <c r="B171" s="6">
        <v>-8.5431486654585775E-4</v>
      </c>
      <c r="C171" s="8">
        <v>-8.5431486654585775E-4</v>
      </c>
      <c r="D171" s="7">
        <v>-3.29E-3</v>
      </c>
      <c r="E171" s="13">
        <f t="shared" si="4"/>
        <v>-2.7416666666666664E-4</v>
      </c>
    </row>
    <row r="172" spans="1:5" x14ac:dyDescent="0.2">
      <c r="A172" s="5">
        <v>43048</v>
      </c>
      <c r="B172" s="6">
        <v>-6.7192442491477156E-3</v>
      </c>
      <c r="C172" s="8">
        <v>-6.7192442491477156E-3</v>
      </c>
      <c r="D172" s="7">
        <v>-3.29E-3</v>
      </c>
      <c r="E172" s="13">
        <f t="shared" si="4"/>
        <v>-2.7416666666666664E-4</v>
      </c>
    </row>
    <row r="173" spans="1:5" x14ac:dyDescent="0.2">
      <c r="A173" s="5">
        <v>43049</v>
      </c>
      <c r="B173" s="6">
        <v>-6.4078545343509985E-3</v>
      </c>
      <c r="C173" s="8">
        <v>-6.4078545343509985E-3</v>
      </c>
      <c r="D173" s="7">
        <v>-3.29E-3</v>
      </c>
      <c r="E173" s="13">
        <f t="shared" si="4"/>
        <v>-2.7416666666666664E-4</v>
      </c>
    </row>
    <row r="174" spans="1:5" x14ac:dyDescent="0.2">
      <c r="A174" s="5">
        <v>43052</v>
      </c>
      <c r="B174" s="6">
        <v>-4.6056796470292927E-3</v>
      </c>
      <c r="C174" s="8">
        <v>-5.2042365031705158E-3</v>
      </c>
      <c r="D174" s="7">
        <v>-3.29E-3</v>
      </c>
      <c r="E174" s="13">
        <f t="shared" si="4"/>
        <v>-2.7416666666666664E-4</v>
      </c>
    </row>
    <row r="175" spans="1:5" x14ac:dyDescent="0.2">
      <c r="A175" s="5">
        <v>43053</v>
      </c>
      <c r="B175" s="6">
        <v>-4.6543483401382257E-3</v>
      </c>
      <c r="C175" s="8">
        <v>-3.664465200300959E-3</v>
      </c>
      <c r="D175" s="7">
        <v>-3.29E-3</v>
      </c>
      <c r="E175" s="13">
        <f t="shared" si="4"/>
        <v>-2.7416666666666664E-4</v>
      </c>
    </row>
    <row r="176" spans="1:5" x14ac:dyDescent="0.2">
      <c r="A176" s="5">
        <v>43054</v>
      </c>
      <c r="B176" s="6">
        <v>-5.7277843522015592E-3</v>
      </c>
      <c r="C176" s="8">
        <v>-6.1658515221141349E-3</v>
      </c>
      <c r="D176" s="7">
        <v>-3.29E-3</v>
      </c>
      <c r="E176" s="13">
        <f t="shared" si="4"/>
        <v>-2.7416666666666664E-4</v>
      </c>
    </row>
    <row r="177" spans="1:5" x14ac:dyDescent="0.2">
      <c r="A177" s="5">
        <v>43055</v>
      </c>
      <c r="B177" s="6">
        <v>7.2836648533096682E-3</v>
      </c>
      <c r="C177" s="8">
        <v>3.3236058813556606E-3</v>
      </c>
      <c r="D177" s="7">
        <v>-3.29E-3</v>
      </c>
      <c r="E177" s="13">
        <f t="shared" si="4"/>
        <v>-2.7416666666666664E-4</v>
      </c>
    </row>
    <row r="178" spans="1:5" x14ac:dyDescent="0.2">
      <c r="A178" s="5">
        <v>43056</v>
      </c>
      <c r="B178" s="6">
        <v>-6.4885292939587114E-4</v>
      </c>
      <c r="C178" s="8">
        <v>5.3570761439604691E-4</v>
      </c>
      <c r="D178" s="7">
        <v>-3.29E-3</v>
      </c>
      <c r="E178" s="13">
        <f t="shared" si="4"/>
        <v>-2.7416666666666664E-4</v>
      </c>
    </row>
    <row r="179" spans="1:5" x14ac:dyDescent="0.2">
      <c r="A179" s="5">
        <v>43059</v>
      </c>
      <c r="B179" s="6">
        <v>3.3008529511961981E-3</v>
      </c>
      <c r="C179" s="8">
        <v>6.4908803444364317E-4</v>
      </c>
      <c r="D179" s="7">
        <v>-3.29E-3</v>
      </c>
      <c r="E179" s="13">
        <f t="shared" si="4"/>
        <v>-2.7416666666666664E-4</v>
      </c>
    </row>
    <row r="180" spans="1:5" x14ac:dyDescent="0.2">
      <c r="A180" s="5">
        <v>43060</v>
      </c>
      <c r="B180" s="6">
        <v>5.8225013284547433E-3</v>
      </c>
      <c r="C180" s="8">
        <v>2.6237178848274732E-3</v>
      </c>
      <c r="D180" s="7">
        <v>-3.29E-3</v>
      </c>
      <c r="E180" s="13">
        <f t="shared" si="4"/>
        <v>-2.7416666666666664E-4</v>
      </c>
    </row>
    <row r="181" spans="1:5" x14ac:dyDescent="0.2">
      <c r="A181" s="5">
        <v>43061</v>
      </c>
      <c r="B181" s="6">
        <v>-1.1112944998318275E-3</v>
      </c>
      <c r="C181" s="8">
        <v>1.2928583784706173E-4</v>
      </c>
      <c r="D181" s="7">
        <v>-3.29E-3</v>
      </c>
      <c r="E181" s="13">
        <f t="shared" si="4"/>
        <v>-2.7416666666666664E-4</v>
      </c>
    </row>
    <row r="182" spans="1:5" x14ac:dyDescent="0.2">
      <c r="A182" s="5">
        <v>43062</v>
      </c>
      <c r="B182" s="6">
        <v>-1.5137492197604407E-3</v>
      </c>
      <c r="C182" s="8">
        <v>-1.045867859065178E-3</v>
      </c>
      <c r="D182" s="7">
        <v>-3.29E-3</v>
      </c>
      <c r="E182" s="13">
        <f t="shared" si="4"/>
        <v>-2.7416666666666664E-4</v>
      </c>
    </row>
    <row r="183" spans="1:5" x14ac:dyDescent="0.2">
      <c r="A183" s="5">
        <v>43063</v>
      </c>
      <c r="B183" s="6">
        <v>1.8989691573190193E-4</v>
      </c>
      <c r="C183" s="8">
        <v>5.4358701356764017E-4</v>
      </c>
      <c r="D183" s="7">
        <v>-3.29E-3</v>
      </c>
      <c r="E183" s="13">
        <f t="shared" si="4"/>
        <v>-2.7416666666666664E-4</v>
      </c>
    </row>
    <row r="184" spans="1:5" x14ac:dyDescent="0.2">
      <c r="A184" s="5">
        <v>43066</v>
      </c>
      <c r="B184" s="6">
        <v>-2.4569066482786894E-3</v>
      </c>
      <c r="C184" s="8">
        <v>-5.8964132737141135E-4</v>
      </c>
      <c r="D184" s="7">
        <v>-3.29E-3</v>
      </c>
      <c r="E184" s="13">
        <f t="shared" si="4"/>
        <v>-2.7416666666666664E-4</v>
      </c>
    </row>
    <row r="185" spans="1:5" x14ac:dyDescent="0.2">
      <c r="A185" s="5">
        <v>43067</v>
      </c>
      <c r="B185" s="6">
        <v>4.770023688956071E-3</v>
      </c>
      <c r="C185" s="8">
        <v>1.900923525387628E-3</v>
      </c>
      <c r="D185" s="7">
        <v>-3.29E-3</v>
      </c>
      <c r="E185" s="13">
        <f t="shared" si="4"/>
        <v>-2.7416666666666664E-4</v>
      </c>
    </row>
    <row r="186" spans="1:5" x14ac:dyDescent="0.2">
      <c r="A186" s="5">
        <v>43068</v>
      </c>
      <c r="B186" s="6">
        <v>6.7905256579003925E-4</v>
      </c>
      <c r="C186" s="8">
        <v>4.3818160945924929E-5</v>
      </c>
      <c r="D186" s="7">
        <v>-3.29E-3</v>
      </c>
      <c r="E186" s="13">
        <f t="shared" si="4"/>
        <v>-2.7416666666666664E-4</v>
      </c>
    </row>
    <row r="187" spans="1:5" x14ac:dyDescent="0.2">
      <c r="A187" s="5">
        <v>43069</v>
      </c>
      <c r="B187" s="6">
        <v>-2.0654577909106075E-3</v>
      </c>
      <c r="C187" s="8">
        <v>-8.2517154313114854E-4</v>
      </c>
      <c r="D187" s="7">
        <v>-3.29E-3</v>
      </c>
      <c r="E187" s="13">
        <f t="shared" si="4"/>
        <v>-2.7416666666666664E-4</v>
      </c>
    </row>
    <row r="188" spans="1:5" x14ac:dyDescent="0.2">
      <c r="A188" s="5">
        <v>43070</v>
      </c>
      <c r="B188" s="6">
        <v>-4.5164438091241932E-3</v>
      </c>
      <c r="C188" s="8">
        <v>-2.0771729543044379E-3</v>
      </c>
      <c r="D188" s="7">
        <v>-3.2600000000000003E-3</v>
      </c>
      <c r="E188" s="13">
        <f t="shared" si="4"/>
        <v>-2.7166666666666669E-4</v>
      </c>
    </row>
    <row r="189" spans="1:5" x14ac:dyDescent="0.2">
      <c r="A189" s="5">
        <v>43073</v>
      </c>
      <c r="B189" s="6">
        <v>5.7222401468446371E-3</v>
      </c>
      <c r="C189" s="8">
        <v>2.9908027595774165E-3</v>
      </c>
      <c r="D189" s="7">
        <v>-3.2600000000000003E-3</v>
      </c>
      <c r="E189" s="13">
        <f t="shared" si="4"/>
        <v>-2.7166666666666669E-4</v>
      </c>
    </row>
    <row r="190" spans="1:5" x14ac:dyDescent="0.2">
      <c r="A190" s="5">
        <v>43074</v>
      </c>
      <c r="B190" s="6">
        <v>-1.8095685163133091E-3</v>
      </c>
      <c r="C190" s="8">
        <v>-1.4425031400519966E-3</v>
      </c>
      <c r="D190" s="7">
        <v>-3.2600000000000003E-3</v>
      </c>
      <c r="E190" s="13">
        <f t="shared" si="4"/>
        <v>-2.7166666666666669E-4</v>
      </c>
    </row>
    <row r="191" spans="1:5" x14ac:dyDescent="0.2">
      <c r="A191" s="5">
        <v>43075</v>
      </c>
      <c r="B191" s="6">
        <v>-1.6040738662388421E-3</v>
      </c>
      <c r="C191" s="8">
        <v>-2.1366542510983127E-4</v>
      </c>
      <c r="D191" s="7">
        <v>-3.2600000000000003E-3</v>
      </c>
      <c r="E191" s="13">
        <f t="shared" si="4"/>
        <v>-2.7166666666666669E-4</v>
      </c>
    </row>
    <row r="192" spans="1:5" x14ac:dyDescent="0.2">
      <c r="A192" s="5">
        <v>43076</v>
      </c>
      <c r="B192" s="6">
        <v>9.3999056342330967E-4</v>
      </c>
      <c r="C192" s="8">
        <v>-1.4327462289031906E-4</v>
      </c>
      <c r="D192" s="7">
        <v>-3.2500000000000003E-3</v>
      </c>
      <c r="E192" s="13">
        <f t="shared" si="4"/>
        <v>-2.7083333333333332E-4</v>
      </c>
    </row>
    <row r="193" spans="1:5" x14ac:dyDescent="0.2">
      <c r="A193" s="5">
        <v>43077</v>
      </c>
      <c r="B193" s="6">
        <v>6.4793343054281305E-3</v>
      </c>
      <c r="C193" s="8">
        <v>3.4065774907450093E-3</v>
      </c>
      <c r="D193" s="7">
        <v>-3.2600000000000003E-3</v>
      </c>
      <c r="E193" s="13">
        <f t="shared" si="4"/>
        <v>-2.7166666666666669E-4</v>
      </c>
    </row>
    <row r="194" spans="1:5" x14ac:dyDescent="0.2">
      <c r="A194" s="5">
        <v>43080</v>
      </c>
      <c r="B194" s="6">
        <v>4.4763240266387783E-4</v>
      </c>
      <c r="C194" s="8">
        <v>6.3047252692648636E-4</v>
      </c>
      <c r="D194" s="7">
        <v>-3.2700000000000003E-3</v>
      </c>
      <c r="E194" s="13">
        <f t="shared" si="4"/>
        <v>-2.7250000000000001E-4</v>
      </c>
    </row>
    <row r="195" spans="1:5" x14ac:dyDescent="0.2">
      <c r="A195" s="5">
        <v>43081</v>
      </c>
      <c r="B195" s="6">
        <v>2.4216712038642729E-3</v>
      </c>
      <c r="C195" s="8">
        <v>9.0670010666570088E-4</v>
      </c>
      <c r="D195" s="7">
        <v>-3.2700000000000003E-3</v>
      </c>
      <c r="E195" s="13">
        <f t="shared" ref="E195:E258" si="5">D195*(1/12)</f>
        <v>-2.7250000000000001E-4</v>
      </c>
    </row>
    <row r="196" spans="1:5" x14ac:dyDescent="0.2">
      <c r="A196" s="5">
        <v>43082</v>
      </c>
      <c r="B196" s="6">
        <v>-4.1380120064893333E-4</v>
      </c>
      <c r="C196" s="8">
        <v>-3.0583020840483993E-4</v>
      </c>
      <c r="D196" s="7">
        <v>-3.29E-3</v>
      </c>
      <c r="E196" s="13">
        <f t="shared" si="5"/>
        <v>-2.7416666666666664E-4</v>
      </c>
    </row>
    <row r="197" spans="1:5" x14ac:dyDescent="0.2">
      <c r="A197" s="5">
        <v>43083</v>
      </c>
      <c r="B197" s="6">
        <v>-3.2240980730428026E-3</v>
      </c>
      <c r="C197" s="8">
        <v>-1.6881817535614439E-3</v>
      </c>
      <c r="D197" s="7">
        <v>-3.31E-3</v>
      </c>
      <c r="E197" s="13">
        <f t="shared" si="5"/>
        <v>-2.7583333333333333E-4</v>
      </c>
    </row>
    <row r="198" spans="1:5" x14ac:dyDescent="0.2">
      <c r="A198" s="5">
        <v>43084</v>
      </c>
      <c r="B198" s="6">
        <v>-1.9072204316418206E-3</v>
      </c>
      <c r="C198" s="8">
        <v>-1.9502541000728946E-3</v>
      </c>
      <c r="D198" s="7">
        <v>-3.29E-3</v>
      </c>
      <c r="E198" s="13">
        <f t="shared" si="5"/>
        <v>-2.7416666666666664E-4</v>
      </c>
    </row>
    <row r="199" spans="1:5" x14ac:dyDescent="0.2">
      <c r="A199" s="5">
        <v>43087</v>
      </c>
      <c r="B199" s="6">
        <v>8.3150696674370028E-3</v>
      </c>
      <c r="C199" s="8">
        <v>5.0283586643893891E-3</v>
      </c>
      <c r="D199" s="7">
        <v>-3.29E-3</v>
      </c>
      <c r="E199" s="13">
        <f t="shared" si="5"/>
        <v>-2.7416666666666664E-4</v>
      </c>
    </row>
    <row r="200" spans="1:5" x14ac:dyDescent="0.2">
      <c r="A200" s="5">
        <v>43088</v>
      </c>
      <c r="B200" s="6">
        <v>-1.4000035726017268E-3</v>
      </c>
      <c r="C200" s="8">
        <v>9.3901109938303003E-5</v>
      </c>
      <c r="D200" s="7">
        <v>-3.29E-3</v>
      </c>
      <c r="E200" s="13">
        <f t="shared" si="5"/>
        <v>-2.7416666666666664E-4</v>
      </c>
    </row>
    <row r="201" spans="1:5" x14ac:dyDescent="0.2">
      <c r="A201" s="5">
        <v>43089</v>
      </c>
      <c r="B201" s="6">
        <v>-3.6637778492165651E-3</v>
      </c>
      <c r="C201" s="8">
        <v>-1.709008658094533E-3</v>
      </c>
      <c r="D201" s="7">
        <v>-3.29E-3</v>
      </c>
      <c r="E201" s="13">
        <f t="shared" si="5"/>
        <v>-2.7416666666666664E-4</v>
      </c>
    </row>
    <row r="202" spans="1:5" x14ac:dyDescent="0.2">
      <c r="A202" s="5">
        <v>43090</v>
      </c>
      <c r="B202" s="6">
        <v>3.8460862202653878E-3</v>
      </c>
      <c r="C202" s="8">
        <v>2.1466299549301833E-3</v>
      </c>
      <c r="D202" s="7">
        <v>-3.29E-3</v>
      </c>
      <c r="E202" s="13">
        <f t="shared" si="5"/>
        <v>-2.7416666666666664E-4</v>
      </c>
    </row>
    <row r="203" spans="1:5" x14ac:dyDescent="0.2">
      <c r="A203" s="5">
        <v>43091</v>
      </c>
      <c r="B203" s="6">
        <v>7.1366277035722625E-4</v>
      </c>
      <c r="C203" s="8">
        <v>7.5594487706626828E-4</v>
      </c>
      <c r="D203" s="7">
        <v>-3.29E-3</v>
      </c>
      <c r="E203" s="13">
        <f t="shared" si="5"/>
        <v>-2.7416666666666664E-4</v>
      </c>
    </row>
    <row r="204" spans="1:5" x14ac:dyDescent="0.2">
      <c r="A204" s="5">
        <v>43094</v>
      </c>
      <c r="B204" s="6">
        <v>0</v>
      </c>
      <c r="C204" s="8">
        <v>-3.4588209616035868E-5</v>
      </c>
      <c r="D204" s="7">
        <v>-3.29E-3</v>
      </c>
      <c r="E204" s="13">
        <f t="shared" si="5"/>
        <v>-2.7416666666666664E-4</v>
      </c>
    </row>
    <row r="205" spans="1:5" x14ac:dyDescent="0.2">
      <c r="A205" s="5">
        <v>43095</v>
      </c>
      <c r="B205" s="6">
        <v>-2.2391421192924366E-4</v>
      </c>
      <c r="C205" s="8">
        <v>9.6925733690965822E-5</v>
      </c>
      <c r="D205" s="7">
        <v>-3.29E-3</v>
      </c>
      <c r="E205" s="13">
        <f t="shared" si="5"/>
        <v>-2.7416666666666664E-4</v>
      </c>
    </row>
    <row r="206" spans="1:5" x14ac:dyDescent="0.2">
      <c r="A206" s="5">
        <v>43096</v>
      </c>
      <c r="B206" s="6">
        <v>1.9875630565269198E-4</v>
      </c>
      <c r="C206" s="8">
        <v>-3.0950860141293633E-5</v>
      </c>
      <c r="D206" s="7">
        <v>-3.29E-3</v>
      </c>
      <c r="E206" s="13">
        <f t="shared" si="5"/>
        <v>-2.7416666666666664E-4</v>
      </c>
    </row>
    <row r="207" spans="1:5" x14ac:dyDescent="0.2">
      <c r="A207" s="5">
        <v>43097</v>
      </c>
      <c r="B207" s="6">
        <v>-6.7683106641280855E-4</v>
      </c>
      <c r="C207" s="8">
        <v>2.3223400256441602E-4</v>
      </c>
      <c r="D207" s="7">
        <v>-3.29E-3</v>
      </c>
      <c r="E207" s="13">
        <f t="shared" si="5"/>
        <v>-2.7416666666666664E-4</v>
      </c>
    </row>
    <row r="208" spans="1:5" x14ac:dyDescent="0.2">
      <c r="A208" s="5">
        <v>43098</v>
      </c>
      <c r="B208" s="6">
        <v>-1.7263473821635955E-3</v>
      </c>
      <c r="C208" s="8">
        <v>-9.9074476462922495E-4</v>
      </c>
      <c r="D208" s="7">
        <v>-3.29E-3</v>
      </c>
      <c r="E208" s="13">
        <f t="shared" si="5"/>
        <v>-2.7416666666666664E-4</v>
      </c>
    </row>
    <row r="209" spans="1:5" x14ac:dyDescent="0.2">
      <c r="A209" s="5">
        <v>43101</v>
      </c>
      <c r="B209" s="6">
        <v>0</v>
      </c>
      <c r="C209" s="8">
        <v>-3.5310092320703517E-5</v>
      </c>
      <c r="D209" s="7">
        <v>-3.29E-3</v>
      </c>
      <c r="E209" s="13">
        <f t="shared" si="5"/>
        <v>-2.7416666666666664E-4</v>
      </c>
    </row>
    <row r="210" spans="1:5" x14ac:dyDescent="0.2">
      <c r="A210" s="5">
        <v>43102</v>
      </c>
      <c r="B210" s="6">
        <v>7.8502707891336954E-5</v>
      </c>
      <c r="C210" s="8">
        <v>-1.2263273341644974E-4</v>
      </c>
      <c r="D210" s="7">
        <v>-3.29E-3</v>
      </c>
      <c r="E210" s="13">
        <f t="shared" si="5"/>
        <v>-2.7416666666666664E-4</v>
      </c>
    </row>
    <row r="211" spans="1:5" x14ac:dyDescent="0.2">
      <c r="A211" s="5">
        <v>43103</v>
      </c>
      <c r="B211" s="6">
        <v>5.4969229746257842E-3</v>
      </c>
      <c r="C211" s="8">
        <v>3.4348065022530268E-3</v>
      </c>
      <c r="D211" s="7">
        <v>-3.29E-3</v>
      </c>
      <c r="E211" s="13">
        <f t="shared" si="5"/>
        <v>-2.7416666666666664E-4</v>
      </c>
    </row>
    <row r="212" spans="1:5" x14ac:dyDescent="0.2">
      <c r="A212" s="5">
        <v>43104</v>
      </c>
      <c r="B212" s="6">
        <v>6.3777523764914079E-3</v>
      </c>
      <c r="C212" s="8">
        <v>3.9120981738163477E-3</v>
      </c>
      <c r="D212" s="7">
        <v>-3.29E-3</v>
      </c>
      <c r="E212" s="13">
        <f t="shared" si="5"/>
        <v>-2.7416666666666664E-4</v>
      </c>
    </row>
    <row r="213" spans="1:5" x14ac:dyDescent="0.2">
      <c r="A213" s="5">
        <v>43105</v>
      </c>
      <c r="B213" s="6">
        <v>1.0125595517987307E-2</v>
      </c>
      <c r="C213" s="8">
        <v>7.6489162219007239E-3</v>
      </c>
      <c r="D213" s="7">
        <v>-3.29E-3</v>
      </c>
      <c r="E213" s="13">
        <f t="shared" si="5"/>
        <v>-2.7416666666666664E-4</v>
      </c>
    </row>
    <row r="214" spans="1:5" x14ac:dyDescent="0.2">
      <c r="A214" s="5">
        <v>43108</v>
      </c>
      <c r="B214" s="6">
        <v>3.3548888177605818E-3</v>
      </c>
      <c r="C214" s="8">
        <v>2.5124828013085268E-3</v>
      </c>
      <c r="D214" s="7">
        <v>-3.29E-3</v>
      </c>
      <c r="E214" s="13">
        <f t="shared" si="5"/>
        <v>-2.7416666666666664E-4</v>
      </c>
    </row>
    <row r="215" spans="1:5" x14ac:dyDescent="0.2">
      <c r="A215" s="5">
        <v>43109</v>
      </c>
      <c r="B215" s="6">
        <v>3.8886511575084715E-3</v>
      </c>
      <c r="C215" s="8">
        <v>3.2397012144675507E-3</v>
      </c>
      <c r="D215" s="7">
        <v>-3.29E-3</v>
      </c>
      <c r="E215" s="13">
        <f t="shared" si="5"/>
        <v>-2.7416666666666664E-4</v>
      </c>
    </row>
    <row r="216" spans="1:5" x14ac:dyDescent="0.2">
      <c r="A216" s="5">
        <v>43110</v>
      </c>
      <c r="B216" s="6">
        <v>-3.8663591108227813E-3</v>
      </c>
      <c r="C216" s="8">
        <v>-3.2418570904240952E-3</v>
      </c>
      <c r="D216" s="7">
        <v>-3.29E-3</v>
      </c>
      <c r="E216" s="13">
        <f t="shared" si="5"/>
        <v>-2.7416666666666664E-4</v>
      </c>
    </row>
    <row r="217" spans="1:5" x14ac:dyDescent="0.2">
      <c r="A217" s="5">
        <v>43111</v>
      </c>
      <c r="B217" s="6">
        <v>-1.7008601146635272E-3</v>
      </c>
      <c r="C217" s="8">
        <v>-1.5362464595995895E-3</v>
      </c>
      <c r="D217" s="7">
        <v>-3.29E-3</v>
      </c>
      <c r="E217" s="13">
        <f t="shared" si="5"/>
        <v>-2.7416666666666664E-4</v>
      </c>
    </row>
    <row r="218" spans="1:5" x14ac:dyDescent="0.2">
      <c r="A218" s="5">
        <v>43112</v>
      </c>
      <c r="B218" s="6">
        <v>2.1982294260947111E-3</v>
      </c>
      <c r="C218" s="8">
        <v>1.7984115646759505E-3</v>
      </c>
      <c r="D218" s="7">
        <v>-3.29E-3</v>
      </c>
      <c r="E218" s="13">
        <f t="shared" si="5"/>
        <v>-2.7416666666666664E-4</v>
      </c>
    </row>
    <row r="219" spans="1:5" x14ac:dyDescent="0.2">
      <c r="A219" s="5">
        <v>43115</v>
      </c>
      <c r="B219" s="6">
        <v>-9.4965010198211353E-4</v>
      </c>
      <c r="C219" s="8">
        <v>-7.2593176041867592E-4</v>
      </c>
      <c r="D219" s="7">
        <v>-3.29E-3</v>
      </c>
      <c r="E219" s="13">
        <f t="shared" si="5"/>
        <v>-2.7416666666666664E-4</v>
      </c>
    </row>
    <row r="220" spans="1:5" x14ac:dyDescent="0.2">
      <c r="A220" s="5">
        <v>43116</v>
      </c>
      <c r="B220" s="6">
        <v>1.8177170412452259E-3</v>
      </c>
      <c r="C220" s="8">
        <v>1.7120737773787314E-3</v>
      </c>
      <c r="D220" s="7">
        <v>-3.29E-3</v>
      </c>
      <c r="E220" s="13">
        <f t="shared" si="5"/>
        <v>-2.7416666666666664E-4</v>
      </c>
    </row>
    <row r="221" spans="1:5" x14ac:dyDescent="0.2">
      <c r="A221" s="5">
        <v>43117</v>
      </c>
      <c r="B221" s="6">
        <v>-7.8433932446997368E-5</v>
      </c>
      <c r="C221" s="8">
        <v>-2.9549246719530714E-4</v>
      </c>
      <c r="D221" s="7">
        <v>-3.2799999999999999E-3</v>
      </c>
      <c r="E221" s="13">
        <f t="shared" si="5"/>
        <v>-2.7333333333333333E-4</v>
      </c>
    </row>
    <row r="222" spans="1:5" x14ac:dyDescent="0.2">
      <c r="A222" s="5">
        <v>43118</v>
      </c>
      <c r="B222" s="6">
        <v>4.6671456557967339E-4</v>
      </c>
      <c r="C222" s="8">
        <v>3.1225461300996233E-4</v>
      </c>
      <c r="D222" s="7">
        <v>-3.2799999999999999E-3</v>
      </c>
      <c r="E222" s="13">
        <f t="shared" si="5"/>
        <v>-2.7333333333333333E-4</v>
      </c>
    </row>
    <row r="223" spans="1:5" x14ac:dyDescent="0.2">
      <c r="A223" s="5">
        <v>43119</v>
      </c>
      <c r="B223" s="6">
        <v>3.8244488345366978E-3</v>
      </c>
      <c r="C223" s="8">
        <v>2.3795619133773717E-3</v>
      </c>
      <c r="D223" s="7">
        <v>-3.2799999999999999E-3</v>
      </c>
      <c r="E223" s="13">
        <f t="shared" si="5"/>
        <v>-2.7333333333333333E-4</v>
      </c>
    </row>
    <row r="224" spans="1:5" x14ac:dyDescent="0.2">
      <c r="A224" s="5">
        <v>43122</v>
      </c>
      <c r="B224" s="6">
        <v>3.0272811726872462E-3</v>
      </c>
      <c r="C224" s="8">
        <v>2.4467962893010261E-3</v>
      </c>
      <c r="D224" s="7">
        <v>-3.2799999999999999E-3</v>
      </c>
      <c r="E224" s="13">
        <f t="shared" si="5"/>
        <v>-2.7333333333333333E-4</v>
      </c>
    </row>
    <row r="225" spans="1:5" x14ac:dyDescent="0.2">
      <c r="A225" s="5">
        <v>43123</v>
      </c>
      <c r="B225" s="6">
        <v>2.382995480208816E-3</v>
      </c>
      <c r="C225" s="8">
        <v>2.0521838442643511E-3</v>
      </c>
      <c r="D225" s="7">
        <v>-3.2799999999999999E-3</v>
      </c>
      <c r="E225" s="13">
        <f t="shared" si="5"/>
        <v>-2.7333333333333333E-4</v>
      </c>
    </row>
    <row r="226" spans="1:5" x14ac:dyDescent="0.2">
      <c r="A226" s="5">
        <v>43124</v>
      </c>
      <c r="B226" s="6">
        <v>-3.644814377783745E-3</v>
      </c>
      <c r="C226" s="8">
        <v>-3.4905148295920388E-3</v>
      </c>
      <c r="D226" s="7">
        <v>-3.2799999999999999E-3</v>
      </c>
      <c r="E226" s="13">
        <f t="shared" si="5"/>
        <v>-2.7333333333333333E-4</v>
      </c>
    </row>
    <row r="227" spans="1:5" x14ac:dyDescent="0.2">
      <c r="A227" s="5">
        <v>43125</v>
      </c>
      <c r="B227" s="6">
        <v>-4.1489535817041956E-3</v>
      </c>
      <c r="C227" s="8">
        <v>-3.4967996746218507E-3</v>
      </c>
      <c r="D227" s="7">
        <v>-3.2700000000000003E-3</v>
      </c>
      <c r="E227" s="13">
        <f t="shared" si="5"/>
        <v>-2.7250000000000001E-4</v>
      </c>
    </row>
    <row r="228" spans="1:5" x14ac:dyDescent="0.2">
      <c r="A228" s="5">
        <v>43126</v>
      </c>
      <c r="B228" s="6">
        <v>4.6026959023250935E-3</v>
      </c>
      <c r="C228" s="8">
        <v>3.985390549617455E-3</v>
      </c>
      <c r="D228" s="7">
        <v>-3.2799999999999999E-3</v>
      </c>
      <c r="E228" s="13">
        <f t="shared" si="5"/>
        <v>-2.7333333333333333E-4</v>
      </c>
    </row>
    <row r="229" spans="1:5" x14ac:dyDescent="0.2">
      <c r="A229" s="5">
        <v>43129</v>
      </c>
      <c r="B229" s="6">
        <v>-2.465365142701903E-3</v>
      </c>
      <c r="C229" s="8">
        <v>-2.2642029196365673E-3</v>
      </c>
      <c r="D229" s="7">
        <v>-3.2799999999999999E-3</v>
      </c>
      <c r="E229" s="13">
        <f t="shared" si="5"/>
        <v>-2.7333333333333333E-4</v>
      </c>
    </row>
    <row r="230" spans="1:5" x14ac:dyDescent="0.2">
      <c r="A230" s="5">
        <v>43130</v>
      </c>
      <c r="B230" s="6">
        <v>-8.4121842549190751E-3</v>
      </c>
      <c r="C230" s="8">
        <v>-7.6287160707866775E-3</v>
      </c>
      <c r="D230" s="7">
        <v>-3.2799999999999999E-3</v>
      </c>
      <c r="E230" s="13">
        <f t="shared" si="5"/>
        <v>-2.7333333333333333E-4</v>
      </c>
    </row>
    <row r="231" spans="1:5" x14ac:dyDescent="0.2">
      <c r="A231" s="5">
        <v>43131</v>
      </c>
      <c r="B231" s="6">
        <v>-1.4594514410950499E-3</v>
      </c>
      <c r="C231" s="8">
        <v>-1.3964704768844002E-3</v>
      </c>
      <c r="D231" s="7">
        <v>-3.2799999999999999E-3</v>
      </c>
      <c r="E231" s="13">
        <f t="shared" si="5"/>
        <v>-2.7333333333333333E-4</v>
      </c>
    </row>
    <row r="232" spans="1:5" x14ac:dyDescent="0.2">
      <c r="A232" s="5">
        <v>43132</v>
      </c>
      <c r="B232" s="6">
        <v>-1.9911340644287456E-3</v>
      </c>
      <c r="C232" s="8">
        <v>-1.3855473033010349E-3</v>
      </c>
      <c r="D232" s="7">
        <v>-3.2799999999999999E-3</v>
      </c>
      <c r="E232" s="13">
        <f t="shared" si="5"/>
        <v>-2.7333333333333333E-4</v>
      </c>
    </row>
    <row r="233" spans="1:5" x14ac:dyDescent="0.2">
      <c r="A233" s="5">
        <v>43133</v>
      </c>
      <c r="B233" s="6">
        <v>-1.2839003849738129E-2</v>
      </c>
      <c r="C233" s="8">
        <v>-8.9620003731248586E-3</v>
      </c>
      <c r="D233" s="7">
        <v>-3.29E-3</v>
      </c>
      <c r="E233" s="13">
        <f t="shared" si="5"/>
        <v>-2.7416666666666664E-4</v>
      </c>
    </row>
    <row r="234" spans="1:5" x14ac:dyDescent="0.2">
      <c r="A234" s="5">
        <v>43136</v>
      </c>
      <c r="B234" s="6">
        <v>-1.7581890714751691E-2</v>
      </c>
      <c r="C234" s="8">
        <v>-6.9686948295990293E-3</v>
      </c>
      <c r="D234" s="7">
        <v>-3.29E-3</v>
      </c>
      <c r="E234" s="13">
        <f t="shared" si="5"/>
        <v>-2.7416666666666664E-4</v>
      </c>
    </row>
    <row r="235" spans="1:5" x14ac:dyDescent="0.2">
      <c r="A235" s="5">
        <v>43137</v>
      </c>
      <c r="B235" s="6">
        <v>-1.4077749504735171E-2</v>
      </c>
      <c r="C235" s="8">
        <v>-1.0598994503893996E-2</v>
      </c>
      <c r="D235" s="7">
        <v>-3.29E-3</v>
      </c>
      <c r="E235" s="13">
        <f t="shared" si="5"/>
        <v>-2.7416666666666664E-4</v>
      </c>
    </row>
    <row r="236" spans="1:5" x14ac:dyDescent="0.2">
      <c r="A236" s="5">
        <v>43138</v>
      </c>
      <c r="B236" s="6">
        <v>1.0186645734225452E-2</v>
      </c>
      <c r="C236" s="8">
        <v>5.5308671010183752E-3</v>
      </c>
      <c r="D236" s="7">
        <v>-3.29E-3</v>
      </c>
      <c r="E236" s="13">
        <f t="shared" si="5"/>
        <v>-2.7416666666666664E-4</v>
      </c>
    </row>
    <row r="237" spans="1:5" x14ac:dyDescent="0.2">
      <c r="A237" s="5">
        <v>43139</v>
      </c>
      <c r="B237" s="6">
        <v>-1.3393590034502356E-2</v>
      </c>
      <c r="C237" s="8">
        <v>-4.5343793960449241E-4</v>
      </c>
      <c r="D237" s="7">
        <v>-3.29E-3</v>
      </c>
      <c r="E237" s="13">
        <f t="shared" si="5"/>
        <v>-2.7416666666666664E-4</v>
      </c>
    </row>
    <row r="238" spans="1:5" x14ac:dyDescent="0.2">
      <c r="A238" s="5">
        <v>43140</v>
      </c>
      <c r="B238" s="6">
        <v>-1.3170603451996055E-2</v>
      </c>
      <c r="C238" s="8">
        <v>-7.4335285353184857E-3</v>
      </c>
      <c r="D238" s="7">
        <v>-3.29E-3</v>
      </c>
      <c r="E238" s="13">
        <f t="shared" si="5"/>
        <v>-2.7416666666666664E-4</v>
      </c>
    </row>
    <row r="239" spans="1:5" x14ac:dyDescent="0.2">
      <c r="A239" s="5">
        <v>43143</v>
      </c>
      <c r="B239" s="6">
        <v>8.8370313473684625E-3</v>
      </c>
      <c r="C239" s="8">
        <v>-2.9929504072599179E-4</v>
      </c>
      <c r="D239" s="7">
        <v>-3.29E-3</v>
      </c>
      <c r="E239" s="13">
        <f t="shared" si="5"/>
        <v>-2.7416666666666664E-4</v>
      </c>
    </row>
    <row r="240" spans="1:5" x14ac:dyDescent="0.2">
      <c r="A240" s="5">
        <v>43144</v>
      </c>
      <c r="B240" s="6">
        <v>-1.9638853431384051E-3</v>
      </c>
      <c r="C240" s="8">
        <v>9.658955888602167E-4</v>
      </c>
      <c r="D240" s="7">
        <v>-3.29E-3</v>
      </c>
      <c r="E240" s="13">
        <f t="shared" si="5"/>
        <v>-2.7416666666666664E-4</v>
      </c>
    </row>
    <row r="241" spans="1:5" x14ac:dyDescent="0.2">
      <c r="A241" s="5">
        <v>43145</v>
      </c>
      <c r="B241" s="6">
        <v>8.6013789963212961E-3</v>
      </c>
      <c r="C241" s="8">
        <v>1.0450520726442815E-3</v>
      </c>
      <c r="D241" s="7">
        <v>-3.2799999999999999E-3</v>
      </c>
      <c r="E241" s="13">
        <f t="shared" si="5"/>
        <v>-2.7333333333333333E-4</v>
      </c>
    </row>
    <row r="242" spans="1:5" x14ac:dyDescent="0.2">
      <c r="A242" s="5">
        <v>43146</v>
      </c>
      <c r="B242" s="6">
        <v>6.2713169685701953E-3</v>
      </c>
      <c r="C242" s="8">
        <v>1.5308881737576456E-3</v>
      </c>
      <c r="D242" s="7">
        <v>-3.2799999999999999E-3</v>
      </c>
      <c r="E242" s="13">
        <f t="shared" si="5"/>
        <v>-2.7333333333333333E-4</v>
      </c>
    </row>
    <row r="243" spans="1:5" x14ac:dyDescent="0.2">
      <c r="A243" s="5">
        <v>43147</v>
      </c>
      <c r="B243" s="6">
        <v>1.0075905433495125E-2</v>
      </c>
      <c r="C243" s="8">
        <v>4.7384272760982804E-3</v>
      </c>
      <c r="D243" s="7">
        <v>-3.2799999999999999E-3</v>
      </c>
      <c r="E243" s="13">
        <f t="shared" si="5"/>
        <v>-2.7333333333333333E-4</v>
      </c>
    </row>
    <row r="244" spans="1:5" x14ac:dyDescent="0.2">
      <c r="A244" s="5">
        <v>43150</v>
      </c>
      <c r="B244" s="6">
        <v>-2.2666070675924077E-3</v>
      </c>
      <c r="C244" s="8">
        <v>-5.5327672662006284E-4</v>
      </c>
      <c r="D244" s="7">
        <v>-3.29E-3</v>
      </c>
      <c r="E244" s="13">
        <f t="shared" si="5"/>
        <v>-2.7416666666666664E-4</v>
      </c>
    </row>
    <row r="245" spans="1:5" x14ac:dyDescent="0.2">
      <c r="A245" s="5">
        <v>43151</v>
      </c>
      <c r="B245" s="6">
        <v>2.1083607063405729E-3</v>
      </c>
      <c r="C245" s="8">
        <v>4.9447733883366718E-4</v>
      </c>
      <c r="D245" s="7">
        <v>-3.29E-3</v>
      </c>
      <c r="E245" s="13">
        <f t="shared" si="5"/>
        <v>-2.7416666666666664E-4</v>
      </c>
    </row>
    <row r="246" spans="1:5" x14ac:dyDescent="0.2">
      <c r="A246" s="5">
        <v>43152</v>
      </c>
      <c r="B246" s="6">
        <v>5.5774214299497693E-4</v>
      </c>
      <c r="C246" s="8">
        <v>7.3513291740078695E-4</v>
      </c>
      <c r="D246" s="7">
        <v>-3.29E-3</v>
      </c>
      <c r="E246" s="13">
        <f t="shared" si="5"/>
        <v>-2.7416666666666664E-4</v>
      </c>
    </row>
    <row r="247" spans="1:5" x14ac:dyDescent="0.2">
      <c r="A247" s="5">
        <v>43153</v>
      </c>
      <c r="B247" s="6">
        <v>-9.8823785589907676E-4</v>
      </c>
      <c r="C247" s="8">
        <v>-1.2892278576224E-3</v>
      </c>
      <c r="D247" s="7">
        <v>-3.2799999999999999E-3</v>
      </c>
      <c r="E247" s="13">
        <f t="shared" si="5"/>
        <v>-2.7333333333333333E-4</v>
      </c>
    </row>
    <row r="248" spans="1:5" x14ac:dyDescent="0.2">
      <c r="A248" s="5">
        <v>43154</v>
      </c>
      <c r="B248" s="6">
        <v>3.7934380806095014E-3</v>
      </c>
      <c r="C248" s="8">
        <v>2.8008227372122458E-4</v>
      </c>
      <c r="D248" s="7">
        <v>-3.2799999999999999E-3</v>
      </c>
      <c r="E248" s="13">
        <f t="shared" si="5"/>
        <v>-2.7333333333333333E-4</v>
      </c>
    </row>
    <row r="249" spans="1:5" x14ac:dyDescent="0.2">
      <c r="A249" s="5">
        <v>43157</v>
      </c>
      <c r="B249" s="6">
        <v>4.8810918051478414E-3</v>
      </c>
      <c r="C249" s="8">
        <v>9.7722922045814439E-5</v>
      </c>
      <c r="D249" s="7">
        <v>-3.2799999999999999E-3</v>
      </c>
      <c r="E249" s="13">
        <f t="shared" si="5"/>
        <v>-2.7333333333333333E-4</v>
      </c>
    </row>
    <row r="250" spans="1:5" x14ac:dyDescent="0.2">
      <c r="A250" s="5">
        <v>43158</v>
      </c>
      <c r="B250" s="6">
        <v>-2.5745152183050957E-3</v>
      </c>
      <c r="C250" s="8">
        <v>1.1496443626349715E-3</v>
      </c>
      <c r="D250" s="7">
        <v>-3.2799999999999999E-3</v>
      </c>
      <c r="E250" s="13">
        <f t="shared" si="5"/>
        <v>-2.7333333333333333E-4</v>
      </c>
    </row>
    <row r="251" spans="1:5" x14ac:dyDescent="0.2">
      <c r="A251" s="5">
        <v>43159</v>
      </c>
      <c r="B251" s="6">
        <v>-4.4749676147880502E-3</v>
      </c>
      <c r="C251" s="8">
        <v>5.5877530252612835E-5</v>
      </c>
      <c r="D251" s="7">
        <v>-3.2700000000000003E-3</v>
      </c>
      <c r="E251" s="13">
        <f t="shared" si="5"/>
        <v>-2.7250000000000001E-4</v>
      </c>
    </row>
    <row r="252" spans="1:5" x14ac:dyDescent="0.2">
      <c r="A252" s="5">
        <v>43160</v>
      </c>
      <c r="B252" s="6">
        <v>-1.3889380887713854E-3</v>
      </c>
      <c r="C252" s="8">
        <v>5.409830201490955E-3</v>
      </c>
      <c r="D252" s="7">
        <v>-3.2700000000000003E-3</v>
      </c>
      <c r="E252" s="13">
        <f t="shared" si="5"/>
        <v>-2.7250000000000001E-4</v>
      </c>
    </row>
    <row r="253" spans="1:5" x14ac:dyDescent="0.2">
      <c r="A253" s="5">
        <v>43161</v>
      </c>
      <c r="B253" s="6">
        <v>-1.5402310396333774E-2</v>
      </c>
      <c r="C253" s="8">
        <v>-6.915898764487196E-3</v>
      </c>
      <c r="D253" s="7">
        <v>-3.2700000000000003E-3</v>
      </c>
      <c r="E253" s="13">
        <f t="shared" si="5"/>
        <v>-2.7250000000000001E-4</v>
      </c>
    </row>
    <row r="254" spans="1:5" x14ac:dyDescent="0.2">
      <c r="A254" s="5">
        <v>43164</v>
      </c>
      <c r="B254" s="6">
        <v>4.2511689717328327E-3</v>
      </c>
      <c r="C254" s="8">
        <v>-2.3720786362929711E-4</v>
      </c>
      <c r="D254" s="7">
        <v>-3.2700000000000003E-3</v>
      </c>
      <c r="E254" s="13">
        <f t="shared" si="5"/>
        <v>-2.7250000000000001E-4</v>
      </c>
    </row>
    <row r="255" spans="1:5" x14ac:dyDescent="0.2">
      <c r="A255" s="5">
        <v>43165</v>
      </c>
      <c r="B255" s="6">
        <v>4.2876306695838196E-3</v>
      </c>
      <c r="C255" s="8">
        <v>3.2337108508723941E-3</v>
      </c>
      <c r="D255" s="7">
        <v>-3.2700000000000003E-3</v>
      </c>
      <c r="E255" s="13">
        <f t="shared" si="5"/>
        <v>-2.7250000000000001E-4</v>
      </c>
    </row>
    <row r="256" spans="1:5" x14ac:dyDescent="0.2">
      <c r="A256" s="5">
        <v>43166</v>
      </c>
      <c r="B256" s="6">
        <v>9.4453958087159506E-4</v>
      </c>
      <c r="C256" s="8">
        <v>-2.1733535336340552E-4</v>
      </c>
      <c r="D256" s="7">
        <v>-3.2700000000000003E-3</v>
      </c>
      <c r="E256" s="13">
        <f t="shared" si="5"/>
        <v>-2.7250000000000001E-4</v>
      </c>
    </row>
    <row r="257" spans="1:5" x14ac:dyDescent="0.2">
      <c r="A257" s="5">
        <v>43167</v>
      </c>
      <c r="B257" s="6">
        <v>7.5850633193541572E-3</v>
      </c>
      <c r="C257" s="8">
        <v>1.8640436114505119E-3</v>
      </c>
      <c r="D257" s="7">
        <v>-3.2700000000000003E-3</v>
      </c>
      <c r="E257" s="13">
        <f t="shared" si="5"/>
        <v>-2.7250000000000001E-4</v>
      </c>
    </row>
    <row r="258" spans="1:5" x14ac:dyDescent="0.2">
      <c r="A258" s="5">
        <v>43168</v>
      </c>
      <c r="B258" s="6">
        <v>9.4404716234175456E-3</v>
      </c>
      <c r="C258" s="8">
        <v>5.2746348304065467E-3</v>
      </c>
      <c r="D258" s="7">
        <v>-3.2700000000000003E-3</v>
      </c>
      <c r="E258" s="13">
        <f t="shared" si="5"/>
        <v>-2.7250000000000001E-4</v>
      </c>
    </row>
    <row r="259" spans="1:5" x14ac:dyDescent="0.2">
      <c r="A259" s="5">
        <v>43171</v>
      </c>
      <c r="B259" s="6">
        <v>3.7008079806954974E-3</v>
      </c>
      <c r="C259" s="8">
        <v>1.3860787904096165E-3</v>
      </c>
      <c r="D259" s="7">
        <v>-3.2700000000000003E-3</v>
      </c>
      <c r="E259" s="13">
        <f t="shared" ref="E259:E322" si="6">D259*(1/12)</f>
        <v>-2.7250000000000001E-4</v>
      </c>
    </row>
    <row r="260" spans="1:5" x14ac:dyDescent="0.2">
      <c r="A260" s="5">
        <v>43172</v>
      </c>
      <c r="B260" s="6">
        <v>-7.1007445739246222E-3</v>
      </c>
      <c r="C260" s="8">
        <v>-1.365810144223256E-3</v>
      </c>
      <c r="D260" s="7">
        <v>-3.2700000000000003E-3</v>
      </c>
      <c r="E260" s="13">
        <f t="shared" si="6"/>
        <v>-2.7250000000000001E-4</v>
      </c>
    </row>
    <row r="261" spans="1:5" x14ac:dyDescent="0.2">
      <c r="A261" s="5">
        <v>43173</v>
      </c>
      <c r="B261" s="6">
        <v>-2.3505161969660238E-3</v>
      </c>
      <c r="C261" s="8">
        <v>-1.872380005645585E-3</v>
      </c>
      <c r="D261" s="7">
        <v>-3.2700000000000003E-3</v>
      </c>
      <c r="E261" s="13">
        <f t="shared" si="6"/>
        <v>-2.7250000000000001E-4</v>
      </c>
    </row>
    <row r="262" spans="1:5" x14ac:dyDescent="0.2">
      <c r="A262" s="5">
        <v>43174</v>
      </c>
      <c r="B262" s="6">
        <v>2.2461477468596058E-3</v>
      </c>
      <c r="C262" s="8">
        <v>-5.3844283441235744E-4</v>
      </c>
      <c r="D262" s="7">
        <v>-3.2799999999999999E-3</v>
      </c>
      <c r="E262" s="13">
        <f t="shared" si="6"/>
        <v>-2.7333333333333333E-4</v>
      </c>
    </row>
    <row r="263" spans="1:5" x14ac:dyDescent="0.2">
      <c r="A263" s="5">
        <v>43175</v>
      </c>
      <c r="B263" s="6">
        <v>5.2191382395783137E-4</v>
      </c>
      <c r="C263" s="8">
        <v>-9.7461115049625284E-4</v>
      </c>
      <c r="D263" s="7">
        <v>-3.2799999999999999E-3</v>
      </c>
      <c r="E263" s="13">
        <f t="shared" si="6"/>
        <v>-2.7333333333333333E-4</v>
      </c>
    </row>
    <row r="264" spans="1:5" x14ac:dyDescent="0.2">
      <c r="A264" s="5">
        <v>43178</v>
      </c>
      <c r="B264" s="6">
        <v>-5.6119710675767154E-3</v>
      </c>
      <c r="C264" s="8">
        <v>1.3906896148582716E-3</v>
      </c>
      <c r="D264" s="7">
        <v>-3.29E-3</v>
      </c>
      <c r="E264" s="13">
        <f t="shared" si="6"/>
        <v>-2.7416666666666664E-4</v>
      </c>
    </row>
    <row r="265" spans="1:5" x14ac:dyDescent="0.2">
      <c r="A265" s="5">
        <v>43179</v>
      </c>
      <c r="B265" s="6">
        <v>3.0578870909447886E-4</v>
      </c>
      <c r="C265" s="8">
        <v>-3.262717804388898E-3</v>
      </c>
      <c r="D265" s="7">
        <v>-3.29E-3</v>
      </c>
      <c r="E265" s="13">
        <f t="shared" si="6"/>
        <v>-2.7416666666666664E-4</v>
      </c>
    </row>
    <row r="266" spans="1:5" x14ac:dyDescent="0.2">
      <c r="A266" s="5">
        <v>43180</v>
      </c>
      <c r="B266" s="6">
        <v>-1.1158303218228305E-3</v>
      </c>
      <c r="C266" s="8">
        <v>-1.8187736960307947E-4</v>
      </c>
      <c r="D266" s="7">
        <v>-3.29E-3</v>
      </c>
      <c r="E266" s="13">
        <f t="shared" si="6"/>
        <v>-2.7416666666666664E-4</v>
      </c>
    </row>
    <row r="267" spans="1:5" x14ac:dyDescent="0.2">
      <c r="A267" s="5">
        <v>43181</v>
      </c>
      <c r="B267" s="6">
        <v>-1.1709171816515651E-2</v>
      </c>
      <c r="C267" s="8">
        <v>-4.9611227122595483E-4</v>
      </c>
      <c r="D267" s="7">
        <v>-3.29E-3</v>
      </c>
      <c r="E267" s="13">
        <f t="shared" si="6"/>
        <v>-2.7416666666666664E-4</v>
      </c>
    </row>
    <row r="268" spans="1:5" x14ac:dyDescent="0.2">
      <c r="A268" s="5">
        <v>43182</v>
      </c>
      <c r="B268" s="6">
        <v>-1.376814206075061E-2</v>
      </c>
      <c r="C268" s="8">
        <v>-5.656631817625421E-3</v>
      </c>
      <c r="D268" s="7">
        <v>-3.29E-3</v>
      </c>
      <c r="E268" s="13">
        <f t="shared" si="6"/>
        <v>-2.7416666666666664E-4</v>
      </c>
    </row>
    <row r="269" spans="1:5" x14ac:dyDescent="0.2">
      <c r="A269" s="5">
        <v>43185</v>
      </c>
      <c r="B269" s="6">
        <v>-8.0651688267763255E-4</v>
      </c>
      <c r="C269" s="8">
        <v>-1.2674513439718859E-3</v>
      </c>
      <c r="D269" s="7">
        <v>-3.29E-3</v>
      </c>
      <c r="E269" s="13">
        <f t="shared" si="6"/>
        <v>-2.7416666666666664E-4</v>
      </c>
    </row>
    <row r="270" spans="1:5" x14ac:dyDescent="0.2">
      <c r="A270" s="5">
        <v>43186</v>
      </c>
      <c r="B270" s="6">
        <v>4.7580287502506646E-3</v>
      </c>
      <c r="C270" s="8">
        <v>1.8171022449415988E-3</v>
      </c>
      <c r="D270" s="7">
        <v>-3.29E-3</v>
      </c>
      <c r="E270" s="13">
        <f t="shared" si="6"/>
        <v>-2.7416666666666664E-4</v>
      </c>
    </row>
    <row r="271" spans="1:5" x14ac:dyDescent="0.2">
      <c r="A271" s="5">
        <v>43187</v>
      </c>
      <c r="B271" s="6">
        <v>-6.5227547334623104E-4</v>
      </c>
      <c r="C271" s="8">
        <v>-5.5480768630742521E-4</v>
      </c>
      <c r="D271" s="7">
        <v>-3.29E-3</v>
      </c>
      <c r="E271" s="13">
        <f t="shared" si="6"/>
        <v>-2.7416666666666664E-4</v>
      </c>
    </row>
    <row r="272" spans="1:5" x14ac:dyDescent="0.2">
      <c r="A272" s="5">
        <v>43188</v>
      </c>
      <c r="B272" s="6">
        <v>5.7068846278105489E-3</v>
      </c>
      <c r="C272" s="8">
        <v>-1.1730233459613911E-3</v>
      </c>
      <c r="D272" s="7">
        <v>-3.2799999999999999E-3</v>
      </c>
      <c r="E272" s="13">
        <f t="shared" si="6"/>
        <v>-2.7333333333333333E-4</v>
      </c>
    </row>
    <row r="273" spans="1:5" x14ac:dyDescent="0.2">
      <c r="A273" s="5">
        <v>43189</v>
      </c>
      <c r="B273" s="6">
        <v>-9.8455638524397315E-5</v>
      </c>
      <c r="C273" s="8">
        <v>-4.2559653961974042E-4</v>
      </c>
      <c r="D273" s="7">
        <v>-3.2799999999999999E-3</v>
      </c>
      <c r="E273" s="13">
        <f t="shared" si="6"/>
        <v>-2.7333333333333333E-4</v>
      </c>
    </row>
    <row r="274" spans="1:5" x14ac:dyDescent="0.2">
      <c r="A274" s="5">
        <v>43192</v>
      </c>
      <c r="B274" s="6">
        <v>-2.5405975953294302E-3</v>
      </c>
      <c r="C274" s="8">
        <v>1.4531243617167486E-3</v>
      </c>
      <c r="D274" s="7">
        <v>-3.2799999999999999E-3</v>
      </c>
      <c r="E274" s="13">
        <f t="shared" si="6"/>
        <v>-2.7333333333333333E-4</v>
      </c>
    </row>
    <row r="275" spans="1:5" x14ac:dyDescent="0.2">
      <c r="A275" s="5">
        <v>43193</v>
      </c>
      <c r="B275" s="6">
        <v>-9.1314904947636943E-4</v>
      </c>
      <c r="C275" s="8">
        <v>-1.2110452891663443E-3</v>
      </c>
      <c r="D275" s="7">
        <v>-3.2799999999999999E-3</v>
      </c>
      <c r="E275" s="13">
        <f t="shared" si="6"/>
        <v>-2.7333333333333333E-4</v>
      </c>
    </row>
    <row r="276" spans="1:5" x14ac:dyDescent="0.2">
      <c r="A276" s="5">
        <v>43194</v>
      </c>
      <c r="B276" s="6">
        <v>-2.8677462165106471E-3</v>
      </c>
      <c r="C276" s="8">
        <v>-1.9288659844662018E-3</v>
      </c>
      <c r="D276" s="7">
        <v>-3.2799999999999999E-3</v>
      </c>
      <c r="E276" s="13">
        <f t="shared" si="6"/>
        <v>-2.7333333333333333E-4</v>
      </c>
    </row>
    <row r="277" spans="1:5" x14ac:dyDescent="0.2">
      <c r="A277" s="5">
        <v>43195</v>
      </c>
      <c r="B277" s="6">
        <v>1.5697309993042641E-2</v>
      </c>
      <c r="C277" s="8">
        <v>4.4840339684912422E-3</v>
      </c>
      <c r="D277" s="7">
        <v>-3.2799999999999999E-3</v>
      </c>
      <c r="E277" s="13">
        <f t="shared" si="6"/>
        <v>-2.7333333333333333E-4</v>
      </c>
    </row>
    <row r="278" spans="1:5" x14ac:dyDescent="0.2">
      <c r="A278" s="5">
        <v>43196</v>
      </c>
      <c r="B278" s="6">
        <v>-2.6671887598199717E-3</v>
      </c>
      <c r="C278" s="8">
        <v>2.5141785347501059E-3</v>
      </c>
      <c r="D278" s="7">
        <v>-3.29E-3</v>
      </c>
      <c r="E278" s="13">
        <f t="shared" si="6"/>
        <v>-2.7416666666666664E-4</v>
      </c>
    </row>
    <row r="279" spans="1:5" x14ac:dyDescent="0.2">
      <c r="A279" s="5">
        <v>43199</v>
      </c>
      <c r="B279" s="6">
        <v>3.4054108923631254E-4</v>
      </c>
      <c r="C279" s="8">
        <v>-1.0559890865418778E-3</v>
      </c>
      <c r="D279" s="7">
        <v>-3.29E-3</v>
      </c>
      <c r="E279" s="13">
        <f t="shared" si="6"/>
        <v>-2.7416666666666664E-4</v>
      </c>
    </row>
    <row r="280" spans="1:5" x14ac:dyDescent="0.2">
      <c r="A280" s="5">
        <v>43200</v>
      </c>
      <c r="B280" s="6">
        <v>6.5782408017835969E-3</v>
      </c>
      <c r="C280" s="8">
        <v>8.0373227260304748E-4</v>
      </c>
      <c r="D280" s="7">
        <v>-3.29E-3</v>
      </c>
      <c r="E280" s="13">
        <f t="shared" si="6"/>
        <v>-2.7416666666666664E-4</v>
      </c>
    </row>
    <row r="281" spans="1:5" x14ac:dyDescent="0.2">
      <c r="A281" s="5">
        <v>43201</v>
      </c>
      <c r="B281" s="6">
        <v>-3.7018501868847364E-3</v>
      </c>
      <c r="C281" s="8">
        <v>-7.0865345128911638E-4</v>
      </c>
      <c r="D281" s="7">
        <v>-3.29E-3</v>
      </c>
      <c r="E281" s="13">
        <f t="shared" si="6"/>
        <v>-2.7416666666666664E-4</v>
      </c>
    </row>
    <row r="282" spans="1:5" x14ac:dyDescent="0.2">
      <c r="A282" s="5">
        <v>43202</v>
      </c>
      <c r="B282" s="6">
        <v>4.672280712818111E-3</v>
      </c>
      <c r="C282" s="8">
        <v>4.0434840257781799E-4</v>
      </c>
      <c r="D282" s="7">
        <v>-3.29E-3</v>
      </c>
      <c r="E282" s="13">
        <f t="shared" si="6"/>
        <v>-2.7416666666666664E-4</v>
      </c>
    </row>
    <row r="283" spans="1:5" x14ac:dyDescent="0.2">
      <c r="A283" s="5">
        <v>43203</v>
      </c>
      <c r="B283" s="6">
        <v>5.1629789452922736E-4</v>
      </c>
      <c r="C283" s="8">
        <v>6.9416217616431644E-4</v>
      </c>
      <c r="D283" s="7">
        <v>-3.29E-3</v>
      </c>
      <c r="E283" s="13">
        <f t="shared" si="6"/>
        <v>-2.7416666666666664E-4</v>
      </c>
    </row>
    <row r="284" spans="1:5" x14ac:dyDescent="0.2">
      <c r="A284" s="5">
        <v>43206</v>
      </c>
      <c r="B284" s="6">
        <v>-1.7797877504470705E-3</v>
      </c>
      <c r="C284" s="8">
        <v>-1.4271796198705314E-3</v>
      </c>
      <c r="D284" s="7">
        <v>-3.29E-3</v>
      </c>
      <c r="E284" s="13">
        <f t="shared" si="6"/>
        <v>-2.7416666666666664E-4</v>
      </c>
    </row>
    <row r="285" spans="1:5" x14ac:dyDescent="0.2">
      <c r="A285" s="5">
        <v>43207</v>
      </c>
      <c r="B285" s="6">
        <v>5.6642580685952737E-3</v>
      </c>
      <c r="C285" s="8">
        <v>6.6433520389575298E-4</v>
      </c>
      <c r="D285" s="7">
        <v>-3.2799999999999999E-3</v>
      </c>
      <c r="E285" s="13">
        <f t="shared" si="6"/>
        <v>-2.7333333333333333E-4</v>
      </c>
    </row>
    <row r="286" spans="1:5" x14ac:dyDescent="0.2">
      <c r="A286" s="5">
        <v>43208</v>
      </c>
      <c r="B286" s="6">
        <v>3.6590566619336684E-3</v>
      </c>
      <c r="C286" s="8">
        <v>1.9697766183982865E-3</v>
      </c>
      <c r="D286" s="7">
        <v>-3.2799999999999999E-3</v>
      </c>
      <c r="E286" s="13">
        <f t="shared" si="6"/>
        <v>-2.7333333333333333E-4</v>
      </c>
    </row>
    <row r="287" spans="1:5" x14ac:dyDescent="0.2">
      <c r="A287" s="5">
        <v>43209</v>
      </c>
      <c r="B287" s="6">
        <v>1.4331945077172836E-3</v>
      </c>
      <c r="C287" s="8">
        <v>2.0358474616814729E-3</v>
      </c>
      <c r="D287" s="7">
        <v>-3.2799999999999999E-3</v>
      </c>
      <c r="E287" s="13">
        <f t="shared" si="6"/>
        <v>-2.7333333333333333E-4</v>
      </c>
    </row>
    <row r="288" spans="1:5" x14ac:dyDescent="0.2">
      <c r="A288" s="5">
        <v>43210</v>
      </c>
      <c r="B288" s="6">
        <v>-8.1824036946487322E-4</v>
      </c>
      <c r="C288" s="8">
        <v>2.6903773757157735E-5</v>
      </c>
      <c r="D288" s="7">
        <v>-3.2799999999999999E-3</v>
      </c>
      <c r="E288" s="13">
        <f t="shared" si="6"/>
        <v>-2.7333333333333333E-4</v>
      </c>
    </row>
    <row r="289" spans="1:5" x14ac:dyDescent="0.2">
      <c r="A289" s="5">
        <v>43213</v>
      </c>
      <c r="B289" s="6">
        <v>1.0707126868199079E-3</v>
      </c>
      <c r="C289" s="8">
        <v>-6.9900910994421823E-4</v>
      </c>
      <c r="D289" s="7">
        <v>-3.2799999999999999E-3</v>
      </c>
      <c r="E289" s="13">
        <f t="shared" si="6"/>
        <v>-2.7333333333333333E-4</v>
      </c>
    </row>
    <row r="290" spans="1:5" x14ac:dyDescent="0.2">
      <c r="A290" s="5">
        <v>43214</v>
      </c>
      <c r="B290" s="6">
        <v>-1.5401592230347427E-3</v>
      </c>
      <c r="C290" s="8">
        <v>8.8548368431198669E-5</v>
      </c>
      <c r="D290" s="7">
        <v>-3.2799999999999999E-3</v>
      </c>
      <c r="E290" s="13">
        <f t="shared" si="6"/>
        <v>-2.7333333333333333E-4</v>
      </c>
    </row>
    <row r="291" spans="1:5" x14ac:dyDescent="0.2">
      <c r="A291" s="5">
        <v>43215</v>
      </c>
      <c r="B291" s="6">
        <v>-5.7081338699059847E-3</v>
      </c>
      <c r="C291" s="8">
        <v>-3.7497151831297382E-3</v>
      </c>
      <c r="D291" s="7">
        <v>-3.2799999999999999E-3</v>
      </c>
      <c r="E291" s="13">
        <f t="shared" si="6"/>
        <v>-2.7333333333333333E-4</v>
      </c>
    </row>
    <row r="292" spans="1:5" x14ac:dyDescent="0.2">
      <c r="A292" s="5">
        <v>43216</v>
      </c>
      <c r="B292" s="6">
        <v>6.8051904809836028E-3</v>
      </c>
      <c r="C292" s="8">
        <v>1.3829272588293537E-3</v>
      </c>
      <c r="D292" s="7">
        <v>-3.2799999999999999E-3</v>
      </c>
      <c r="E292" s="13">
        <f t="shared" si="6"/>
        <v>-2.7333333333333333E-4</v>
      </c>
    </row>
    <row r="293" spans="1:5" x14ac:dyDescent="0.2">
      <c r="A293" s="5">
        <v>43217</v>
      </c>
      <c r="B293" s="6">
        <v>2.8567462522031128E-3</v>
      </c>
      <c r="C293" s="8">
        <v>1.4132424712822512E-3</v>
      </c>
      <c r="D293" s="7">
        <v>-3.29E-3</v>
      </c>
      <c r="E293" s="13">
        <f t="shared" si="6"/>
        <v>-2.7416666666666664E-4</v>
      </c>
    </row>
    <row r="294" spans="1:5" x14ac:dyDescent="0.2">
      <c r="A294" s="5">
        <v>43220</v>
      </c>
      <c r="B294" s="6">
        <v>1.8683854526793109E-3</v>
      </c>
      <c r="C294" s="8">
        <v>1.3846012849017494E-3</v>
      </c>
      <c r="D294" s="7">
        <v>-3.29E-3</v>
      </c>
      <c r="E294" s="13">
        <f t="shared" si="6"/>
        <v>-2.7416666666666664E-4</v>
      </c>
    </row>
    <row r="295" spans="1:5" x14ac:dyDescent="0.2">
      <c r="A295" s="5">
        <v>43221</v>
      </c>
      <c r="B295" s="6">
        <v>-9.5449356542554042E-4</v>
      </c>
      <c r="C295" s="8">
        <v>-1.3226231458286005E-3</v>
      </c>
      <c r="D295" s="7">
        <v>-3.29E-3</v>
      </c>
      <c r="E295" s="13">
        <f t="shared" si="6"/>
        <v>-2.7416666666666664E-4</v>
      </c>
    </row>
    <row r="296" spans="1:5" x14ac:dyDescent="0.2">
      <c r="A296" s="5">
        <v>43222</v>
      </c>
      <c r="B296" s="6">
        <v>3.7472443659671839E-3</v>
      </c>
      <c r="C296" s="8">
        <v>2.3794965824145689E-3</v>
      </c>
      <c r="D296" s="7">
        <v>-3.29E-3</v>
      </c>
      <c r="E296" s="13">
        <f t="shared" si="6"/>
        <v>-2.7416666666666664E-4</v>
      </c>
    </row>
    <row r="297" spans="1:5" x14ac:dyDescent="0.2">
      <c r="A297" s="5">
        <v>43223</v>
      </c>
      <c r="B297" s="6">
        <v>-3.6681997876220063E-3</v>
      </c>
      <c r="C297" s="8">
        <v>-9.3915446474455641E-4</v>
      </c>
      <c r="D297" s="7">
        <v>-3.2799999999999999E-3</v>
      </c>
      <c r="E297" s="13">
        <f t="shared" si="6"/>
        <v>-2.7333333333333333E-4</v>
      </c>
    </row>
    <row r="298" spans="1:5" x14ac:dyDescent="0.2">
      <c r="A298" s="5">
        <v>43224</v>
      </c>
      <c r="B298" s="6">
        <v>4.0825238753896542E-3</v>
      </c>
      <c r="C298" s="8">
        <v>4.6904505583949575E-4</v>
      </c>
      <c r="D298" s="7">
        <v>-3.2799999999999999E-3</v>
      </c>
      <c r="E298" s="13">
        <f t="shared" si="6"/>
        <v>-2.7333333333333333E-4</v>
      </c>
    </row>
    <row r="299" spans="1:5" x14ac:dyDescent="0.2">
      <c r="A299" s="5">
        <v>43227</v>
      </c>
      <c r="B299" s="6">
        <v>3.2657935469426747E-3</v>
      </c>
      <c r="C299" s="8">
        <v>5.6410984342502007E-4</v>
      </c>
      <c r="D299" s="7">
        <v>-3.2799999999999999E-3</v>
      </c>
      <c r="E299" s="13">
        <f t="shared" si="6"/>
        <v>-2.7333333333333333E-4</v>
      </c>
    </row>
    <row r="300" spans="1:5" x14ac:dyDescent="0.2">
      <c r="A300" s="5">
        <v>43228</v>
      </c>
      <c r="B300" s="6">
        <v>4.439134135318934E-3</v>
      </c>
      <c r="C300" s="8">
        <v>3.7695574269374951E-3</v>
      </c>
      <c r="D300" s="7">
        <v>-3.2799999999999999E-3</v>
      </c>
      <c r="E300" s="13">
        <f t="shared" si="6"/>
        <v>-2.7333333333333333E-4</v>
      </c>
    </row>
    <row r="301" spans="1:5" x14ac:dyDescent="0.2">
      <c r="A301" s="5">
        <v>43229</v>
      </c>
      <c r="B301" s="6">
        <v>3.3847063532594923E-3</v>
      </c>
      <c r="C301" s="8">
        <v>7.7079318807434091E-4</v>
      </c>
      <c r="D301" s="7">
        <v>-3.2700000000000003E-3</v>
      </c>
      <c r="E301" s="13">
        <f t="shared" si="6"/>
        <v>-2.7250000000000001E-4</v>
      </c>
    </row>
    <row r="302" spans="1:5" x14ac:dyDescent="0.2">
      <c r="A302" s="5">
        <v>43230</v>
      </c>
      <c r="B302" s="6">
        <v>1.1339771337082194E-3</v>
      </c>
      <c r="C302" s="8">
        <v>-3.5309657221119727E-4</v>
      </c>
      <c r="D302" s="7">
        <v>-3.2600000000000003E-3</v>
      </c>
      <c r="E302" s="13">
        <f t="shared" si="6"/>
        <v>-2.7166666666666669E-4</v>
      </c>
    </row>
    <row r="303" spans="1:5" x14ac:dyDescent="0.2">
      <c r="A303" s="5">
        <v>43231</v>
      </c>
      <c r="B303" s="6">
        <v>3.623869646443012E-3</v>
      </c>
      <c r="C303" s="8">
        <v>3.0572716380605691E-3</v>
      </c>
      <c r="D303" s="7">
        <v>-3.2700000000000003E-3</v>
      </c>
      <c r="E303" s="13">
        <f t="shared" si="6"/>
        <v>-2.7250000000000001E-4</v>
      </c>
    </row>
    <row r="304" spans="1:5" x14ac:dyDescent="0.2">
      <c r="A304" s="5">
        <v>43234</v>
      </c>
      <c r="B304" s="6">
        <v>-5.2359734888596243E-4</v>
      </c>
      <c r="C304" s="8">
        <v>-6.350558352877278E-4</v>
      </c>
      <c r="D304" s="7">
        <v>-3.2600000000000003E-3</v>
      </c>
      <c r="E304" s="13">
        <f t="shared" si="6"/>
        <v>-2.7166666666666669E-4</v>
      </c>
    </row>
    <row r="305" spans="1:5" x14ac:dyDescent="0.2">
      <c r="A305" s="5">
        <v>43235</v>
      </c>
      <c r="B305" s="6">
        <v>-1.5774354918738354E-3</v>
      </c>
      <c r="C305" s="8">
        <v>-9.3275827858483142E-4</v>
      </c>
      <c r="D305" s="7">
        <v>-3.2600000000000003E-3</v>
      </c>
      <c r="E305" s="13">
        <f t="shared" si="6"/>
        <v>-2.7166666666666669E-4</v>
      </c>
    </row>
    <row r="306" spans="1:5" x14ac:dyDescent="0.2">
      <c r="A306" s="5">
        <v>43236</v>
      </c>
      <c r="B306" s="6">
        <v>1.4272887931539024E-3</v>
      </c>
      <c r="C306" s="8">
        <v>-4.0336080995494292E-4</v>
      </c>
      <c r="D306" s="7">
        <v>-3.2600000000000003E-3</v>
      </c>
      <c r="E306" s="13">
        <f t="shared" si="6"/>
        <v>-2.7166666666666669E-4</v>
      </c>
    </row>
    <row r="307" spans="1:5" x14ac:dyDescent="0.2">
      <c r="A307" s="5">
        <v>43237</v>
      </c>
      <c r="B307" s="6">
        <v>2.8352456240379187E-3</v>
      </c>
      <c r="C307" s="8">
        <v>1.9809047386916434E-3</v>
      </c>
      <c r="D307" s="7">
        <v>-3.2600000000000003E-3</v>
      </c>
      <c r="E307" s="13">
        <f t="shared" si="6"/>
        <v>-2.7166666666666669E-4</v>
      </c>
    </row>
    <row r="308" spans="1:5" x14ac:dyDescent="0.2">
      <c r="A308" s="5">
        <v>43238</v>
      </c>
      <c r="B308" s="6">
        <v>-2.1713494706651071E-3</v>
      </c>
      <c r="C308" s="8">
        <v>-1.4513539397261841E-3</v>
      </c>
      <c r="D308" s="7">
        <v>-3.2600000000000003E-3</v>
      </c>
      <c r="E308" s="13">
        <f t="shared" si="6"/>
        <v>-2.7166666666666669E-4</v>
      </c>
    </row>
    <row r="309" spans="1:5" x14ac:dyDescent="0.2">
      <c r="A309" s="5">
        <v>43241</v>
      </c>
      <c r="B309" s="6">
        <v>1.680445851482526E-3</v>
      </c>
      <c r="C309" s="8">
        <v>-8.372118369377084E-5</v>
      </c>
      <c r="D309" s="7">
        <v>-3.2500000000000003E-3</v>
      </c>
      <c r="E309" s="13">
        <f t="shared" si="6"/>
        <v>-2.7083333333333332E-4</v>
      </c>
    </row>
    <row r="310" spans="1:5" x14ac:dyDescent="0.2">
      <c r="A310" s="5">
        <v>43242</v>
      </c>
      <c r="B310" s="6">
        <v>2.9506847496043598E-3</v>
      </c>
      <c r="C310" s="8">
        <v>2.0657829068895907E-3</v>
      </c>
      <c r="D310" s="7">
        <v>-3.2400000000000003E-3</v>
      </c>
      <c r="E310" s="13">
        <f t="shared" si="6"/>
        <v>-2.7E-4</v>
      </c>
    </row>
    <row r="311" spans="1:5" x14ac:dyDescent="0.2">
      <c r="A311" s="5">
        <v>43243</v>
      </c>
      <c r="B311" s="6">
        <v>-4.9512646780095482E-3</v>
      </c>
      <c r="C311" s="8">
        <v>-2.3239531555495274E-3</v>
      </c>
      <c r="D311" s="7">
        <v>-3.2300000000000002E-3</v>
      </c>
      <c r="E311" s="13">
        <f t="shared" si="6"/>
        <v>-2.6916666666666669E-4</v>
      </c>
    </row>
    <row r="312" spans="1:5" x14ac:dyDescent="0.2">
      <c r="A312" s="5">
        <v>43244</v>
      </c>
      <c r="B312" s="6">
        <v>-2.640476596152741E-3</v>
      </c>
      <c r="C312" s="8">
        <v>-1.4035964490232301E-3</v>
      </c>
      <c r="D312" s="7">
        <v>-3.2400000000000003E-3</v>
      </c>
      <c r="E312" s="13">
        <f t="shared" si="6"/>
        <v>-2.7E-4</v>
      </c>
    </row>
    <row r="313" spans="1:5" x14ac:dyDescent="0.2">
      <c r="A313" s="5">
        <v>43245</v>
      </c>
      <c r="B313" s="6">
        <v>-7.9220034432991859E-4</v>
      </c>
      <c r="C313" s="8">
        <v>-9.9337186378077916E-4</v>
      </c>
      <c r="D313" s="7">
        <v>-3.2300000000000002E-3</v>
      </c>
      <c r="E313" s="13">
        <f t="shared" si="6"/>
        <v>-2.6916666666666669E-4</v>
      </c>
    </row>
    <row r="314" spans="1:5" x14ac:dyDescent="0.2">
      <c r="A314" s="5">
        <v>43248</v>
      </c>
      <c r="B314" s="6">
        <v>-1.2188042170996338E-3</v>
      </c>
      <c r="C314" s="8">
        <v>-5.9088672956498871E-4</v>
      </c>
      <c r="D314" s="7">
        <v>-3.2200000000000002E-3</v>
      </c>
      <c r="E314" s="13">
        <f t="shared" si="6"/>
        <v>-2.6833333333333331E-4</v>
      </c>
    </row>
    <row r="315" spans="1:5" x14ac:dyDescent="0.2">
      <c r="A315" s="5">
        <v>43249</v>
      </c>
      <c r="B315" s="6">
        <v>-9.0638970286334164E-3</v>
      </c>
      <c r="C315" s="8">
        <v>-5.0328922427704693E-3</v>
      </c>
      <c r="D315" s="7">
        <v>-3.2100000000000002E-3</v>
      </c>
      <c r="E315" s="13">
        <f t="shared" si="6"/>
        <v>-2.675E-4</v>
      </c>
    </row>
    <row r="316" spans="1:5" x14ac:dyDescent="0.2">
      <c r="A316" s="5">
        <v>43250</v>
      </c>
      <c r="B316" s="6">
        <v>3.5112130278847076E-5</v>
      </c>
      <c r="C316" s="8">
        <v>-7.9773271191859059E-4</v>
      </c>
      <c r="D316" s="7">
        <v>-3.2100000000000002E-3</v>
      </c>
      <c r="E316" s="13">
        <f t="shared" si="6"/>
        <v>-2.675E-4</v>
      </c>
    </row>
    <row r="317" spans="1:5" x14ac:dyDescent="0.2">
      <c r="A317" s="5">
        <v>43251</v>
      </c>
      <c r="B317" s="6">
        <v>-4.4175766440613939E-3</v>
      </c>
      <c r="C317" s="8">
        <v>-3.3684493948614711E-3</v>
      </c>
      <c r="D317" s="7">
        <v>-3.2100000000000002E-3</v>
      </c>
      <c r="E317" s="13">
        <f t="shared" si="6"/>
        <v>-2.675E-4</v>
      </c>
    </row>
    <row r="318" spans="1:5" x14ac:dyDescent="0.2">
      <c r="A318" s="5">
        <v>43252</v>
      </c>
      <c r="B318" s="6">
        <v>8.7623199477531166E-3</v>
      </c>
      <c r="C318" s="8">
        <v>6.1133635052233312E-3</v>
      </c>
      <c r="D318" s="7">
        <v>-3.2100000000000002E-3</v>
      </c>
      <c r="E318" s="13">
        <f t="shared" si="6"/>
        <v>-2.675E-4</v>
      </c>
    </row>
    <row r="319" spans="1:5" x14ac:dyDescent="0.2">
      <c r="A319" s="5">
        <v>43255</v>
      </c>
      <c r="B319" s="6">
        <v>2.7538824858359678E-3</v>
      </c>
      <c r="C319" s="8">
        <v>1.2595652936611584E-3</v>
      </c>
      <c r="D319" s="7">
        <v>-3.2100000000000002E-3</v>
      </c>
      <c r="E319" s="13">
        <f t="shared" si="6"/>
        <v>-2.675E-4</v>
      </c>
    </row>
    <row r="320" spans="1:5" x14ac:dyDescent="0.2">
      <c r="A320" s="5">
        <v>43256</v>
      </c>
      <c r="B320" s="6">
        <v>5.9762228397541861E-4</v>
      </c>
      <c r="C320" s="8">
        <v>7.3738869207163465E-4</v>
      </c>
      <c r="D320" s="7">
        <v>-3.2200000000000002E-3</v>
      </c>
      <c r="E320" s="13">
        <f t="shared" si="6"/>
        <v>-2.6833333333333331E-4</v>
      </c>
    </row>
    <row r="321" spans="1:5" x14ac:dyDescent="0.2">
      <c r="A321" s="5">
        <v>43257</v>
      </c>
      <c r="B321" s="6">
        <v>6.3487659707495148E-4</v>
      </c>
      <c r="C321" s="8">
        <v>4.2111389244596867E-4</v>
      </c>
      <c r="D321" s="7">
        <v>-3.2100000000000002E-3</v>
      </c>
      <c r="E321" s="13">
        <f t="shared" si="6"/>
        <v>-2.675E-4</v>
      </c>
    </row>
    <row r="322" spans="1:5" x14ac:dyDescent="0.2">
      <c r="A322" s="5">
        <v>43258</v>
      </c>
      <c r="B322" s="6">
        <v>-1.4384467529963141E-3</v>
      </c>
      <c r="C322" s="8">
        <v>-1.1011376209423306E-3</v>
      </c>
      <c r="D322" s="7">
        <v>-3.2100000000000002E-3</v>
      </c>
      <c r="E322" s="13">
        <f t="shared" si="6"/>
        <v>-2.675E-4</v>
      </c>
    </row>
    <row r="323" spans="1:5" x14ac:dyDescent="0.2">
      <c r="A323" s="5">
        <v>43259</v>
      </c>
      <c r="B323" s="6">
        <v>-1.2286162596214512E-3</v>
      </c>
      <c r="C323" s="8">
        <v>-7.8644476047293904E-4</v>
      </c>
      <c r="D323" s="7">
        <v>-3.2100000000000002E-3</v>
      </c>
      <c r="E323" s="13">
        <f t="shared" ref="E323:E386" si="7">D323*(1/12)</f>
        <v>-2.675E-4</v>
      </c>
    </row>
    <row r="324" spans="1:5" x14ac:dyDescent="0.2">
      <c r="A324" s="5">
        <v>43262</v>
      </c>
      <c r="B324" s="6">
        <v>3.7257162674351196E-3</v>
      </c>
      <c r="C324" s="8">
        <v>2.3527932025227349E-3</v>
      </c>
      <c r="D324" s="7">
        <v>-3.2100000000000002E-3</v>
      </c>
      <c r="E324" s="13">
        <f t="shared" si="7"/>
        <v>-2.675E-4</v>
      </c>
    </row>
    <row r="325" spans="1:5" x14ac:dyDescent="0.2">
      <c r="A325" s="5">
        <v>43263</v>
      </c>
      <c r="B325" s="6">
        <v>1.6579753589376356E-3</v>
      </c>
      <c r="C325" s="8">
        <v>1.6299348308529546E-3</v>
      </c>
      <c r="D325" s="7">
        <v>-3.2100000000000002E-3</v>
      </c>
      <c r="E325" s="13">
        <f t="shared" si="7"/>
        <v>-2.675E-4</v>
      </c>
    </row>
    <row r="326" spans="1:5" x14ac:dyDescent="0.2">
      <c r="A326" s="5">
        <v>43264</v>
      </c>
      <c r="B326" s="6">
        <v>-3.3395922631174191E-4</v>
      </c>
      <c r="C326" s="8">
        <v>-3.9415468663682213E-4</v>
      </c>
      <c r="D326" s="7">
        <v>-3.2100000000000002E-3</v>
      </c>
      <c r="E326" s="13">
        <f t="shared" si="7"/>
        <v>-2.675E-4</v>
      </c>
    </row>
    <row r="327" spans="1:5" x14ac:dyDescent="0.2">
      <c r="A327" s="5">
        <v>43265</v>
      </c>
      <c r="B327" s="6">
        <v>6.819783473772878E-3</v>
      </c>
      <c r="C327" s="8">
        <v>5.3692841360600619E-3</v>
      </c>
      <c r="D327" s="7">
        <v>-3.2100000000000002E-3</v>
      </c>
      <c r="E327" s="13">
        <f t="shared" si="7"/>
        <v>-2.675E-4</v>
      </c>
    </row>
    <row r="328" spans="1:5" x14ac:dyDescent="0.2">
      <c r="A328" s="5">
        <v>43266</v>
      </c>
      <c r="B328" s="6">
        <v>-4.1934570467937471E-3</v>
      </c>
      <c r="C328" s="8">
        <v>-3.2422761867774846E-3</v>
      </c>
      <c r="D328" s="7">
        <v>-3.2100000000000002E-3</v>
      </c>
      <c r="E328" s="13">
        <f t="shared" si="7"/>
        <v>-2.675E-4</v>
      </c>
    </row>
    <row r="329" spans="1:5" x14ac:dyDescent="0.2">
      <c r="A329" s="5">
        <v>43269</v>
      </c>
      <c r="B329" s="6">
        <v>-5.2673610948436034E-3</v>
      </c>
      <c r="C329" s="8">
        <v>-4.1476064305005153E-3</v>
      </c>
      <c r="D329" s="7">
        <v>-3.2300000000000002E-3</v>
      </c>
      <c r="E329" s="13">
        <f t="shared" si="7"/>
        <v>-2.6916666666666669E-4</v>
      </c>
    </row>
    <row r="330" spans="1:5" x14ac:dyDescent="0.2">
      <c r="A330" s="5">
        <v>43270</v>
      </c>
      <c r="B330" s="6">
        <v>-6.5842986532552716E-3</v>
      </c>
      <c r="C330" s="8">
        <v>-5.5225027653837975E-3</v>
      </c>
      <c r="D330" s="7">
        <v>-3.2300000000000002E-3</v>
      </c>
      <c r="E330" s="13">
        <f t="shared" si="7"/>
        <v>-2.6916666666666669E-4</v>
      </c>
    </row>
    <row r="331" spans="1:5" x14ac:dyDescent="0.2">
      <c r="A331" s="5">
        <v>43271</v>
      </c>
      <c r="B331" s="6">
        <v>1.3591440603293314E-3</v>
      </c>
      <c r="C331" s="8">
        <v>9.1386407043978217E-4</v>
      </c>
      <c r="D331" s="7">
        <v>-3.2300000000000002E-3</v>
      </c>
      <c r="E331" s="13">
        <f t="shared" si="7"/>
        <v>-2.6916666666666669E-4</v>
      </c>
    </row>
    <row r="332" spans="1:5" x14ac:dyDescent="0.2">
      <c r="A332" s="5">
        <v>43272</v>
      </c>
      <c r="B332" s="6">
        <v>-6.389622072299983E-3</v>
      </c>
      <c r="C332" s="8">
        <v>-4.9389897756211762E-3</v>
      </c>
      <c r="D332" s="7">
        <v>-3.2300000000000002E-3</v>
      </c>
      <c r="E332" s="13">
        <f t="shared" si="7"/>
        <v>-2.6916666666666669E-4</v>
      </c>
    </row>
    <row r="333" spans="1:5" x14ac:dyDescent="0.2">
      <c r="A333" s="5">
        <v>43273</v>
      </c>
      <c r="B333" s="6">
        <v>4.4983094483665997E-3</v>
      </c>
      <c r="C333" s="8">
        <v>3.0878628697857766E-3</v>
      </c>
      <c r="D333" s="7">
        <v>-3.2300000000000002E-3</v>
      </c>
      <c r="E333" s="13">
        <f t="shared" si="7"/>
        <v>-2.6916666666666669E-4</v>
      </c>
    </row>
    <row r="334" spans="1:5" x14ac:dyDescent="0.2">
      <c r="A334" s="5">
        <v>43276</v>
      </c>
      <c r="B334" s="6">
        <v>-1.3728436809020805E-2</v>
      </c>
      <c r="C334" s="8">
        <v>-1.0571326470243992E-2</v>
      </c>
      <c r="D334" s="7">
        <v>-3.2400000000000003E-3</v>
      </c>
      <c r="E334" s="13">
        <f t="shared" si="7"/>
        <v>-2.7E-4</v>
      </c>
    </row>
    <row r="335" spans="1:5" x14ac:dyDescent="0.2">
      <c r="A335" s="5">
        <v>43277</v>
      </c>
      <c r="B335" s="6">
        <v>-4.7840732127779617E-4</v>
      </c>
      <c r="C335" s="8">
        <v>-4.047487847071046E-4</v>
      </c>
      <c r="D335" s="7">
        <v>-3.2300000000000002E-3</v>
      </c>
      <c r="E335" s="13">
        <f t="shared" si="7"/>
        <v>-2.6916666666666669E-4</v>
      </c>
    </row>
    <row r="336" spans="1:5" x14ac:dyDescent="0.2">
      <c r="A336" s="5">
        <v>43278</v>
      </c>
      <c r="B336" s="6">
        <v>4.1999376131429678E-4</v>
      </c>
      <c r="C336" s="8">
        <v>2.470465175332141E-6</v>
      </c>
      <c r="D336" s="7">
        <v>-3.2400000000000003E-3</v>
      </c>
      <c r="E336" s="13">
        <f t="shared" si="7"/>
        <v>-2.7E-4</v>
      </c>
    </row>
    <row r="337" spans="1:5" x14ac:dyDescent="0.2">
      <c r="A337" s="5">
        <v>43279</v>
      </c>
      <c r="B337" s="6">
        <v>-5.2891710439979533E-3</v>
      </c>
      <c r="C337" s="8">
        <v>-3.5495880207406807E-3</v>
      </c>
      <c r="D337" s="7">
        <v>-3.2400000000000003E-3</v>
      </c>
      <c r="E337" s="13">
        <f t="shared" si="7"/>
        <v>-2.7E-4</v>
      </c>
    </row>
    <row r="338" spans="1:5" x14ac:dyDescent="0.2">
      <c r="A338" s="5">
        <v>43280</v>
      </c>
      <c r="B338" s="6">
        <v>1.8588282231519759E-3</v>
      </c>
      <c r="C338" s="8">
        <v>-1.2866340023575599E-3</v>
      </c>
      <c r="D338" s="7">
        <v>-3.2100000000000002E-3</v>
      </c>
      <c r="E338" s="13">
        <f t="shared" si="7"/>
        <v>-2.675E-4</v>
      </c>
    </row>
    <row r="339" spans="1:5" x14ac:dyDescent="0.2">
      <c r="A339" s="5">
        <v>43283</v>
      </c>
      <c r="B339" s="6">
        <v>-4.5749697795360866E-3</v>
      </c>
      <c r="C339" s="8">
        <v>-2.2210375876955588E-3</v>
      </c>
      <c r="D339" s="7">
        <v>-3.2100000000000002E-3</v>
      </c>
      <c r="E339" s="13">
        <f t="shared" si="7"/>
        <v>-2.675E-4</v>
      </c>
    </row>
    <row r="340" spans="1:5" x14ac:dyDescent="0.2">
      <c r="A340" s="5">
        <v>43284</v>
      </c>
      <c r="B340" s="6">
        <v>2.7723046207952518E-3</v>
      </c>
      <c r="C340" s="8">
        <v>1.4990564125716601E-3</v>
      </c>
      <c r="D340" s="7">
        <v>-3.2100000000000002E-3</v>
      </c>
      <c r="E340" s="13">
        <f t="shared" si="7"/>
        <v>-2.675E-4</v>
      </c>
    </row>
    <row r="341" spans="1:5" x14ac:dyDescent="0.2">
      <c r="A341" s="5">
        <v>43285</v>
      </c>
      <c r="B341" s="6">
        <v>-5.9351163542709084E-4</v>
      </c>
      <c r="C341" s="8">
        <v>-7.3166978349072196E-4</v>
      </c>
      <c r="D341" s="7">
        <v>-3.2100000000000002E-3</v>
      </c>
      <c r="E341" s="13">
        <f t="shared" si="7"/>
        <v>-2.675E-4</v>
      </c>
    </row>
    <row r="342" spans="1:5" x14ac:dyDescent="0.2">
      <c r="A342" s="5">
        <v>43286</v>
      </c>
      <c r="B342" s="6">
        <v>2.1174244298614031E-3</v>
      </c>
      <c r="C342" s="8">
        <v>5.7513450432034497E-4</v>
      </c>
      <c r="D342" s="7">
        <v>-3.2100000000000002E-3</v>
      </c>
      <c r="E342" s="13">
        <f t="shared" si="7"/>
        <v>-2.675E-4</v>
      </c>
    </row>
    <row r="343" spans="1:5" x14ac:dyDescent="0.2">
      <c r="A343" s="5">
        <v>43287</v>
      </c>
      <c r="B343" s="6">
        <v>3.6204589718085156E-3</v>
      </c>
      <c r="C343" s="8">
        <v>2.6227952666241835E-3</v>
      </c>
      <c r="D343" s="7">
        <v>-3.2100000000000002E-3</v>
      </c>
      <c r="E343" s="13">
        <f t="shared" si="7"/>
        <v>-2.675E-4</v>
      </c>
    </row>
    <row r="344" spans="1:5" x14ac:dyDescent="0.2">
      <c r="A344" s="5">
        <v>43290</v>
      </c>
      <c r="B344" s="6">
        <v>6.4350002054160971E-3</v>
      </c>
      <c r="C344" s="8">
        <v>3.6521526406200458E-3</v>
      </c>
      <c r="D344" s="7">
        <v>-3.2100000000000002E-3</v>
      </c>
      <c r="E344" s="13">
        <f t="shared" si="7"/>
        <v>-2.675E-4</v>
      </c>
    </row>
    <row r="345" spans="1:5" x14ac:dyDescent="0.2">
      <c r="A345" s="5">
        <v>43291</v>
      </c>
      <c r="B345" s="6">
        <v>4.3181827981322307E-3</v>
      </c>
      <c r="C345" s="8">
        <v>3.1977355691053377E-3</v>
      </c>
      <c r="D345" s="7">
        <v>-3.2100000000000002E-3</v>
      </c>
      <c r="E345" s="13">
        <f t="shared" si="7"/>
        <v>-2.675E-4</v>
      </c>
    </row>
    <row r="346" spans="1:5" x14ac:dyDescent="0.2">
      <c r="A346" s="5">
        <v>43292</v>
      </c>
      <c r="B346" s="6">
        <v>-8.3641507163970674E-3</v>
      </c>
      <c r="C346" s="8">
        <v>-4.2346929923234881E-3</v>
      </c>
      <c r="D346" s="7">
        <v>-3.2100000000000002E-3</v>
      </c>
      <c r="E346" s="13">
        <f t="shared" si="7"/>
        <v>-2.675E-4</v>
      </c>
    </row>
    <row r="347" spans="1:5" x14ac:dyDescent="0.2">
      <c r="A347" s="5">
        <v>43293</v>
      </c>
      <c r="B347" s="6">
        <v>5.3963411916586601E-3</v>
      </c>
      <c r="C347" s="8">
        <v>2.750930237456083E-3</v>
      </c>
      <c r="D347" s="7">
        <v>-3.2100000000000002E-3</v>
      </c>
      <c r="E347" s="13">
        <f t="shared" si="7"/>
        <v>-2.675E-4</v>
      </c>
    </row>
    <row r="348" spans="1:5" x14ac:dyDescent="0.2">
      <c r="A348" s="5">
        <v>43294</v>
      </c>
      <c r="B348" s="6">
        <v>1.7192008402802106E-3</v>
      </c>
      <c r="C348" s="8">
        <v>1.0740877344459431E-3</v>
      </c>
      <c r="D348" s="7">
        <v>-3.2100000000000002E-3</v>
      </c>
      <c r="E348" s="13">
        <f t="shared" si="7"/>
        <v>-2.675E-4</v>
      </c>
    </row>
    <row r="349" spans="1:5" x14ac:dyDescent="0.2">
      <c r="A349" s="5">
        <v>43297</v>
      </c>
      <c r="B349" s="6">
        <v>-2.00147107254256E-3</v>
      </c>
      <c r="C349" s="8">
        <v>-1.3948735758203329E-3</v>
      </c>
      <c r="D349" s="7">
        <v>-3.2100000000000002E-3</v>
      </c>
      <c r="E349" s="13">
        <f t="shared" si="7"/>
        <v>-2.675E-4</v>
      </c>
    </row>
    <row r="350" spans="1:5" x14ac:dyDescent="0.2">
      <c r="A350" s="5">
        <v>43298</v>
      </c>
      <c r="B350" s="6">
        <v>1.7988145966933988E-3</v>
      </c>
      <c r="C350" s="8">
        <v>1.1069216741535566E-3</v>
      </c>
      <c r="D350" s="7">
        <v>-3.2100000000000002E-3</v>
      </c>
      <c r="E350" s="13">
        <f t="shared" si="7"/>
        <v>-2.675E-4</v>
      </c>
    </row>
    <row r="351" spans="1:5" x14ac:dyDescent="0.2">
      <c r="A351" s="5">
        <v>43299</v>
      </c>
      <c r="B351" s="6">
        <v>2.8882213082375152E-3</v>
      </c>
      <c r="C351" s="8">
        <v>1.9367762815029211E-3</v>
      </c>
      <c r="D351" s="7">
        <v>-3.2100000000000002E-3</v>
      </c>
      <c r="E351" s="13">
        <f t="shared" si="7"/>
        <v>-2.675E-4</v>
      </c>
    </row>
    <row r="352" spans="1:5" x14ac:dyDescent="0.2">
      <c r="A352" s="5">
        <v>43300</v>
      </c>
      <c r="B352" s="6">
        <v>-2.8018607946875829E-3</v>
      </c>
      <c r="C352" s="8">
        <v>-2.0770828550264134E-3</v>
      </c>
      <c r="D352" s="7">
        <v>-3.2100000000000002E-3</v>
      </c>
      <c r="E352" s="13">
        <f t="shared" si="7"/>
        <v>-2.675E-4</v>
      </c>
    </row>
    <row r="353" spans="1:5" x14ac:dyDescent="0.2">
      <c r="A353" s="5">
        <v>43301</v>
      </c>
      <c r="B353" s="6">
        <v>-8.9908145117956195E-4</v>
      </c>
      <c r="C353" s="8">
        <v>-7.5712916775798399E-4</v>
      </c>
      <c r="D353" s="7">
        <v>-3.2100000000000002E-3</v>
      </c>
      <c r="E353" s="13">
        <f t="shared" si="7"/>
        <v>-2.675E-4</v>
      </c>
    </row>
    <row r="354" spans="1:5" x14ac:dyDescent="0.2">
      <c r="A354" s="5">
        <v>43304</v>
      </c>
      <c r="B354" s="6">
        <v>-1.7084814392044345E-3</v>
      </c>
      <c r="C354" s="8">
        <v>-1.3945734703005046E-3</v>
      </c>
      <c r="D354" s="7">
        <v>-3.2100000000000002E-3</v>
      </c>
      <c r="E354" s="13">
        <f t="shared" si="7"/>
        <v>-2.675E-4</v>
      </c>
    </row>
    <row r="355" spans="1:5" x14ac:dyDescent="0.2">
      <c r="A355" s="5">
        <v>43305</v>
      </c>
      <c r="B355" s="6">
        <v>4.5778760200236857E-3</v>
      </c>
      <c r="C355" s="8">
        <v>2.6658065490939159E-3</v>
      </c>
      <c r="D355" s="7">
        <v>-3.2100000000000002E-3</v>
      </c>
      <c r="E355" s="13">
        <f t="shared" si="7"/>
        <v>-2.675E-4</v>
      </c>
    </row>
    <row r="356" spans="1:5" x14ac:dyDescent="0.2">
      <c r="A356" s="5">
        <v>43306</v>
      </c>
      <c r="B356" s="6">
        <v>1.4909177429538456E-3</v>
      </c>
      <c r="C356" s="8">
        <v>1.6145697237697223E-3</v>
      </c>
      <c r="D356" s="7">
        <v>-3.2100000000000002E-3</v>
      </c>
      <c r="E356" s="13">
        <f t="shared" si="7"/>
        <v>-2.675E-4</v>
      </c>
    </row>
    <row r="357" spans="1:5" x14ac:dyDescent="0.2">
      <c r="A357" s="5">
        <v>43307</v>
      </c>
      <c r="B357" s="6">
        <v>4.9290287291872126E-3</v>
      </c>
      <c r="C357" s="8">
        <v>3.9980474770898462E-3</v>
      </c>
      <c r="D357" s="7">
        <v>-3.2000000000000002E-3</v>
      </c>
      <c r="E357" s="13">
        <f t="shared" si="7"/>
        <v>-2.6666666666666668E-4</v>
      </c>
    </row>
    <row r="358" spans="1:5" x14ac:dyDescent="0.2">
      <c r="A358" s="5">
        <v>43308</v>
      </c>
      <c r="B358" s="6">
        <v>3.85706606895031E-3</v>
      </c>
      <c r="C358" s="8">
        <v>3.3391727055420289E-3</v>
      </c>
      <c r="D358" s="7">
        <v>-3.2000000000000002E-3</v>
      </c>
      <c r="E358" s="13">
        <f t="shared" si="7"/>
        <v>-2.6666666666666668E-4</v>
      </c>
    </row>
    <row r="359" spans="1:5" x14ac:dyDescent="0.2">
      <c r="A359" s="5">
        <v>43311</v>
      </c>
      <c r="B359" s="6">
        <v>-4.1710935526393378E-3</v>
      </c>
      <c r="C359" s="8">
        <v>-4.1387277159642931E-3</v>
      </c>
      <c r="D359" s="7">
        <v>-3.1900000000000001E-3</v>
      </c>
      <c r="E359" s="13">
        <f t="shared" si="7"/>
        <v>-2.6583333333333331E-4</v>
      </c>
    </row>
    <row r="360" spans="1:5" x14ac:dyDescent="0.2">
      <c r="A360" s="5">
        <v>43312</v>
      </c>
      <c r="B360" s="6">
        <v>5.1132121382524431E-4</v>
      </c>
      <c r="C360" s="8">
        <v>5.1132121382524431E-4</v>
      </c>
      <c r="D360" s="7">
        <v>-3.1900000000000001E-3</v>
      </c>
      <c r="E360" s="13">
        <f t="shared" si="7"/>
        <v>-2.6583333333333331E-4</v>
      </c>
    </row>
    <row r="361" spans="1:5" x14ac:dyDescent="0.2">
      <c r="A361" s="5">
        <v>43313</v>
      </c>
      <c r="B361" s="6">
        <v>-1.9685349526237239E-3</v>
      </c>
      <c r="C361" s="8">
        <v>-1.9685349526237239E-3</v>
      </c>
      <c r="D361" s="7">
        <v>-3.1900000000000001E-3</v>
      </c>
      <c r="E361" s="13">
        <f t="shared" si="7"/>
        <v>-2.6583333333333331E-4</v>
      </c>
    </row>
    <row r="362" spans="1:5" x14ac:dyDescent="0.2">
      <c r="A362" s="5">
        <v>43314</v>
      </c>
      <c r="B362" s="6">
        <v>-4.7442030063625795E-3</v>
      </c>
      <c r="C362" s="8">
        <v>-4.7442030063625795E-3</v>
      </c>
      <c r="D362" s="7">
        <v>-3.1900000000000001E-3</v>
      </c>
      <c r="E362" s="13">
        <f t="shared" si="7"/>
        <v>-2.6583333333333331E-4</v>
      </c>
    </row>
    <row r="363" spans="1:5" x14ac:dyDescent="0.2">
      <c r="A363" s="5">
        <v>43315</v>
      </c>
      <c r="B363" s="6">
        <v>4.2412482296949605E-3</v>
      </c>
      <c r="C363" s="8">
        <v>4.2412482296949605E-3</v>
      </c>
      <c r="D363" s="7">
        <v>-3.1900000000000001E-3</v>
      </c>
      <c r="E363" s="13">
        <f t="shared" si="7"/>
        <v>-2.6583333333333331E-4</v>
      </c>
    </row>
    <row r="364" spans="1:5" x14ac:dyDescent="0.2">
      <c r="A364" s="5">
        <v>43318</v>
      </c>
      <c r="B364" s="6">
        <v>7.1005668459211968E-4</v>
      </c>
      <c r="C364" s="8">
        <v>7.1005668459211968E-4</v>
      </c>
      <c r="D364" s="7">
        <v>-3.1900000000000001E-3</v>
      </c>
      <c r="E364" s="13">
        <f t="shared" si="7"/>
        <v>-2.6583333333333331E-4</v>
      </c>
    </row>
    <row r="365" spans="1:5" x14ac:dyDescent="0.2">
      <c r="A365" s="5">
        <v>43319</v>
      </c>
      <c r="B365" s="6">
        <v>2.9454174413843237E-3</v>
      </c>
      <c r="C365" s="8">
        <v>2.9454174413843237E-3</v>
      </c>
      <c r="D365" s="7">
        <v>-3.1900000000000001E-3</v>
      </c>
      <c r="E365" s="13">
        <f t="shared" si="7"/>
        <v>-2.6583333333333331E-4</v>
      </c>
    </row>
    <row r="366" spans="1:5" x14ac:dyDescent="0.2">
      <c r="A366" s="5">
        <v>43320</v>
      </c>
      <c r="B366" s="6">
        <v>-1.5497310641522377E-3</v>
      </c>
      <c r="C366" s="8">
        <v>-1.5497310641522377E-3</v>
      </c>
      <c r="D366" s="7">
        <v>-3.1900000000000001E-3</v>
      </c>
      <c r="E366" s="13">
        <f t="shared" si="7"/>
        <v>-2.6583333333333331E-4</v>
      </c>
    </row>
    <row r="367" spans="1:5" x14ac:dyDescent="0.2">
      <c r="A367" s="5">
        <v>43321</v>
      </c>
      <c r="B367" s="6">
        <v>1.1500510471373904E-3</v>
      </c>
      <c r="C367" s="8">
        <v>1.1500510471373904E-3</v>
      </c>
      <c r="D367" s="7">
        <v>-3.1900000000000001E-3</v>
      </c>
      <c r="E367" s="13">
        <f t="shared" si="7"/>
        <v>-2.6583333333333331E-4</v>
      </c>
    </row>
    <row r="368" spans="1:5" x14ac:dyDescent="0.2">
      <c r="A368" s="5">
        <v>43322</v>
      </c>
      <c r="B368" s="6">
        <v>-8.0651294704329191E-3</v>
      </c>
      <c r="C368" s="8">
        <v>-8.0651294704329191E-3</v>
      </c>
      <c r="D368" s="7">
        <v>-3.1900000000000001E-3</v>
      </c>
      <c r="E368" s="13">
        <f t="shared" si="7"/>
        <v>-2.6583333333333331E-4</v>
      </c>
    </row>
    <row r="369" spans="1:5" x14ac:dyDescent="0.2">
      <c r="A369" s="5">
        <v>43325</v>
      </c>
      <c r="B369" s="6">
        <v>-4.0197784718301044E-3</v>
      </c>
      <c r="C369" s="8">
        <v>-4.0197784718301044E-3</v>
      </c>
      <c r="D369" s="7">
        <v>-3.1900000000000001E-3</v>
      </c>
      <c r="E369" s="13">
        <f t="shared" si="7"/>
        <v>-2.6583333333333331E-4</v>
      </c>
    </row>
    <row r="370" spans="1:5" x14ac:dyDescent="0.2">
      <c r="A370" s="5">
        <v>43326</v>
      </c>
      <c r="B370" s="6">
        <v>1.2918923501952229E-3</v>
      </c>
      <c r="C370" s="8">
        <v>1.2918923501952229E-3</v>
      </c>
      <c r="D370" s="7">
        <v>-3.1900000000000001E-3</v>
      </c>
      <c r="E370" s="13">
        <f t="shared" si="7"/>
        <v>-2.6583333333333331E-4</v>
      </c>
    </row>
    <row r="371" spans="1:5" x14ac:dyDescent="0.2">
      <c r="A371" s="5">
        <v>43327</v>
      </c>
      <c r="B371" s="6">
        <v>-5.2782275991621885E-3</v>
      </c>
      <c r="C371" s="8">
        <v>-5.2782275991621885E-3</v>
      </c>
      <c r="D371" s="7">
        <v>-3.1900000000000001E-3</v>
      </c>
      <c r="E371" s="13">
        <f t="shared" si="7"/>
        <v>-2.6583333333333331E-4</v>
      </c>
    </row>
    <row r="372" spans="1:5" x14ac:dyDescent="0.2">
      <c r="A372" s="5">
        <v>43328</v>
      </c>
      <c r="B372" s="6">
        <v>-4.9937273498112944E-4</v>
      </c>
      <c r="C372" s="8">
        <v>-4.9937273498112944E-4</v>
      </c>
      <c r="D372" s="7">
        <v>-3.1900000000000001E-3</v>
      </c>
      <c r="E372" s="13">
        <f t="shared" si="7"/>
        <v>-2.6583333333333331E-4</v>
      </c>
    </row>
    <row r="373" spans="1:5" x14ac:dyDescent="0.2">
      <c r="A373" s="5">
        <v>43329</v>
      </c>
      <c r="B373" s="6">
        <v>-2.9077228375588016E-3</v>
      </c>
      <c r="C373" s="8">
        <v>-2.9077228375588016E-3</v>
      </c>
      <c r="D373" s="7">
        <v>-3.1900000000000001E-3</v>
      </c>
      <c r="E373" s="13">
        <f t="shared" si="7"/>
        <v>-2.6583333333333331E-4</v>
      </c>
    </row>
    <row r="374" spans="1:5" x14ac:dyDescent="0.2">
      <c r="A374" s="5">
        <v>43332</v>
      </c>
      <c r="B374" s="6">
        <v>4.2837161940221247E-3</v>
      </c>
      <c r="C374" s="8">
        <v>4.2837161940221247E-3</v>
      </c>
      <c r="D374" s="7">
        <v>-3.1900000000000001E-3</v>
      </c>
      <c r="E374" s="13">
        <f t="shared" si="7"/>
        <v>-2.6583333333333331E-4</v>
      </c>
    </row>
    <row r="375" spans="1:5" x14ac:dyDescent="0.2">
      <c r="A375" s="5">
        <v>43333</v>
      </c>
      <c r="B375" s="6">
        <v>2.8732278907543929E-3</v>
      </c>
      <c r="C375" s="8">
        <v>2.8732278907543929E-3</v>
      </c>
      <c r="D375" s="7">
        <v>-3.1900000000000001E-3</v>
      </c>
      <c r="E375" s="13">
        <f t="shared" si="7"/>
        <v>-2.6583333333333331E-4</v>
      </c>
    </row>
    <row r="376" spans="1:5" x14ac:dyDescent="0.2">
      <c r="A376" s="5">
        <v>43334</v>
      </c>
      <c r="B376" s="6">
        <v>5.1188825211356814E-4</v>
      </c>
      <c r="C376" s="8">
        <v>5.1188825211356814E-4</v>
      </c>
      <c r="D376" s="7">
        <v>-3.1900000000000001E-3</v>
      </c>
      <c r="E376" s="13">
        <f t="shared" si="7"/>
        <v>-2.6583333333333331E-4</v>
      </c>
    </row>
    <row r="377" spans="1:5" x14ac:dyDescent="0.2">
      <c r="A377" s="5">
        <v>43335</v>
      </c>
      <c r="B377" s="6">
        <v>2.2868187548041874E-6</v>
      </c>
      <c r="C377" s="8">
        <v>2.2868187548041874E-6</v>
      </c>
      <c r="D377" s="7">
        <v>-3.1900000000000001E-3</v>
      </c>
      <c r="E377" s="13">
        <f t="shared" si="7"/>
        <v>-2.6583333333333331E-4</v>
      </c>
    </row>
    <row r="378" spans="1:5" x14ac:dyDescent="0.2">
      <c r="A378" s="5">
        <v>43336</v>
      </c>
      <c r="B378" s="6">
        <v>1.9444143575721995E-3</v>
      </c>
      <c r="C378" s="8">
        <v>1.9444143575721995E-3</v>
      </c>
      <c r="D378" s="7">
        <v>-3.1900000000000001E-3</v>
      </c>
      <c r="E378" s="13">
        <f t="shared" si="7"/>
        <v>-2.6583333333333331E-4</v>
      </c>
    </row>
    <row r="379" spans="1:5" x14ac:dyDescent="0.2">
      <c r="A379" s="5">
        <v>43339</v>
      </c>
      <c r="B379" s="6">
        <v>5.5957763219847134E-3</v>
      </c>
      <c r="C379" s="8">
        <v>5.5957763219847134E-3</v>
      </c>
      <c r="D379" s="7">
        <v>-3.1900000000000001E-3</v>
      </c>
      <c r="E379" s="13">
        <f t="shared" si="7"/>
        <v>-2.6583333333333331E-4</v>
      </c>
    </row>
    <row r="380" spans="1:5" x14ac:dyDescent="0.2">
      <c r="A380" s="5">
        <v>43340</v>
      </c>
      <c r="B380" s="6">
        <v>-7.7156341296980013E-4</v>
      </c>
      <c r="C380" s="8">
        <v>-7.7156341296980013E-4</v>
      </c>
      <c r="D380" s="7">
        <v>-3.1900000000000001E-3</v>
      </c>
      <c r="E380" s="13">
        <f t="shared" si="7"/>
        <v>-2.6583333333333331E-4</v>
      </c>
    </row>
    <row r="381" spans="1:5" x14ac:dyDescent="0.2">
      <c r="A381" s="5">
        <v>43341</v>
      </c>
      <c r="B381" s="6">
        <v>6.2469439159951179E-4</v>
      </c>
      <c r="C381" s="8">
        <v>6.2469439159951179E-4</v>
      </c>
      <c r="D381" s="7">
        <v>-3.1900000000000001E-3</v>
      </c>
      <c r="E381" s="13">
        <f t="shared" si="7"/>
        <v>-2.6583333333333331E-4</v>
      </c>
    </row>
    <row r="382" spans="1:5" x14ac:dyDescent="0.2">
      <c r="A382" s="5">
        <v>43342</v>
      </c>
      <c r="B382" s="6">
        <v>-3.1119625332027834E-3</v>
      </c>
      <c r="C382" s="8">
        <v>-3.1119625332027834E-3</v>
      </c>
      <c r="D382" s="7">
        <v>-3.1900000000000001E-3</v>
      </c>
      <c r="E382" s="13">
        <f t="shared" si="7"/>
        <v>-2.6583333333333331E-4</v>
      </c>
    </row>
    <row r="383" spans="1:5" x14ac:dyDescent="0.2">
      <c r="A383" s="5">
        <v>43343</v>
      </c>
      <c r="B383" s="6">
        <v>-4.6356694258917752E-3</v>
      </c>
      <c r="C383" s="8">
        <v>-4.6356694258917752E-3</v>
      </c>
      <c r="D383" s="7">
        <v>-3.1900000000000001E-3</v>
      </c>
      <c r="E383" s="13">
        <f t="shared" si="7"/>
        <v>-2.6583333333333331E-4</v>
      </c>
    </row>
    <row r="384" spans="1:5" x14ac:dyDescent="0.2">
      <c r="A384" s="5">
        <v>43346</v>
      </c>
      <c r="B384" s="6">
        <v>-1.1048815515186661E-3</v>
      </c>
      <c r="C384" s="8">
        <v>-1.1048815515186661E-3</v>
      </c>
      <c r="D384" s="7">
        <v>-3.1900000000000001E-3</v>
      </c>
      <c r="E384" s="13">
        <f t="shared" si="7"/>
        <v>-2.6583333333333331E-4</v>
      </c>
    </row>
    <row r="385" spans="1:5" x14ac:dyDescent="0.2">
      <c r="A385" s="5">
        <v>43347</v>
      </c>
      <c r="B385" s="6">
        <v>-4.9618362982645214E-3</v>
      </c>
      <c r="C385" s="8">
        <v>-4.9618362982645214E-3</v>
      </c>
      <c r="D385" s="7">
        <v>-3.1900000000000001E-3</v>
      </c>
      <c r="E385" s="13">
        <f t="shared" si="7"/>
        <v>-2.6583333333333331E-4</v>
      </c>
    </row>
    <row r="386" spans="1:5" x14ac:dyDescent="0.2">
      <c r="A386" s="5">
        <v>43348</v>
      </c>
      <c r="B386" s="6">
        <v>-9.6572074586178669E-3</v>
      </c>
      <c r="C386" s="8">
        <v>-8.8511624311665375E-3</v>
      </c>
      <c r="D386" s="7">
        <v>-3.1900000000000001E-3</v>
      </c>
      <c r="E386" s="13">
        <f t="shared" si="7"/>
        <v>-2.6583333333333331E-4</v>
      </c>
    </row>
    <row r="387" spans="1:5" x14ac:dyDescent="0.2">
      <c r="A387" s="5">
        <v>43349</v>
      </c>
      <c r="B387" s="6">
        <v>-3.8501411189301171E-3</v>
      </c>
      <c r="C387" s="8">
        <v>-2.5540831743753349E-3</v>
      </c>
      <c r="D387" s="7">
        <v>-3.1900000000000001E-3</v>
      </c>
      <c r="E387" s="13">
        <f t="shared" ref="E387:E450" si="8">D387*(1/12)</f>
        <v>-2.6583333333333331E-4</v>
      </c>
    </row>
    <row r="388" spans="1:5" x14ac:dyDescent="0.2">
      <c r="A388" s="5">
        <v>43350</v>
      </c>
      <c r="B388" s="6">
        <v>-3.8852369512865081E-4</v>
      </c>
      <c r="C388" s="8">
        <v>-2.1980413058102688E-4</v>
      </c>
      <c r="D388" s="7">
        <v>-3.1900000000000001E-3</v>
      </c>
      <c r="E388" s="13">
        <f t="shared" si="8"/>
        <v>-2.6583333333333331E-4</v>
      </c>
    </row>
    <row r="389" spans="1:5" x14ac:dyDescent="0.2">
      <c r="A389" s="5">
        <v>43353</v>
      </c>
      <c r="B389" s="6">
        <v>2.0942589043131399E-3</v>
      </c>
      <c r="C389" s="8">
        <v>1.166232502339977E-3</v>
      </c>
      <c r="D389" s="7">
        <v>-3.1900000000000001E-3</v>
      </c>
      <c r="E389" s="13">
        <f t="shared" si="8"/>
        <v>-2.6583333333333331E-4</v>
      </c>
    </row>
    <row r="390" spans="1:5" x14ac:dyDescent="0.2">
      <c r="A390" s="5">
        <v>43354</v>
      </c>
      <c r="B390" s="6">
        <v>-7.6318177014644828E-4</v>
      </c>
      <c r="C390" s="8">
        <v>-7.8706225847195266E-4</v>
      </c>
      <c r="D390" s="7">
        <v>-3.1900000000000001E-3</v>
      </c>
      <c r="E390" s="13">
        <f t="shared" si="8"/>
        <v>-2.6583333333333331E-4</v>
      </c>
    </row>
    <row r="391" spans="1:5" x14ac:dyDescent="0.2">
      <c r="A391" s="5">
        <v>43355</v>
      </c>
      <c r="B391" s="6">
        <v>3.2934858919233534E-3</v>
      </c>
      <c r="C391" s="8">
        <v>2.1313293918394103E-3</v>
      </c>
      <c r="D391" s="7">
        <v>-3.1900000000000001E-3</v>
      </c>
      <c r="E391" s="13">
        <f t="shared" si="8"/>
        <v>-2.6583333333333331E-4</v>
      </c>
    </row>
    <row r="392" spans="1:5" x14ac:dyDescent="0.2">
      <c r="A392" s="5">
        <v>43356</v>
      </c>
      <c r="B392" s="6">
        <v>1.0065328299924126E-4</v>
      </c>
      <c r="C392" s="8">
        <v>-7.4668593145129421E-4</v>
      </c>
      <c r="D392" s="7">
        <v>-3.1900000000000001E-3</v>
      </c>
      <c r="E392" s="13">
        <f t="shared" si="8"/>
        <v>-2.6583333333333331E-4</v>
      </c>
    </row>
    <row r="393" spans="1:5" x14ac:dyDescent="0.2">
      <c r="A393" s="5">
        <v>43357</v>
      </c>
      <c r="B393" s="6">
        <v>5.174536514992889E-3</v>
      </c>
      <c r="C393" s="8">
        <v>4.1671325716317164E-3</v>
      </c>
      <c r="D393" s="7">
        <v>-3.1900000000000001E-3</v>
      </c>
      <c r="E393" s="13">
        <f t="shared" si="8"/>
        <v>-2.6583333333333331E-4</v>
      </c>
    </row>
    <row r="394" spans="1:5" x14ac:dyDescent="0.2">
      <c r="A394" s="5">
        <v>43360</v>
      </c>
      <c r="B394" s="6">
        <v>-8.3998960175646342E-4</v>
      </c>
      <c r="C394" s="8">
        <v>-5.4350162249517731E-4</v>
      </c>
      <c r="D394" s="7">
        <v>-3.1900000000000001E-3</v>
      </c>
      <c r="E394" s="13">
        <f t="shared" si="8"/>
        <v>-2.6583333333333331E-4</v>
      </c>
    </row>
    <row r="395" spans="1:5" x14ac:dyDescent="0.2">
      <c r="A395" s="5">
        <v>43361</v>
      </c>
      <c r="B395" s="6">
        <v>2.9007660502091692E-3</v>
      </c>
      <c r="C395" s="8">
        <v>2.0768768486218595E-3</v>
      </c>
      <c r="D395" s="7">
        <v>-3.1900000000000001E-3</v>
      </c>
      <c r="E395" s="13">
        <f t="shared" si="8"/>
        <v>-2.6583333333333331E-4</v>
      </c>
    </row>
    <row r="396" spans="1:5" x14ac:dyDescent="0.2">
      <c r="A396" s="5">
        <v>43362</v>
      </c>
      <c r="B396" s="6">
        <v>2.9699085833438943E-3</v>
      </c>
      <c r="C396" s="8">
        <v>1.5154950020779281E-3</v>
      </c>
      <c r="D396" s="7">
        <v>-3.1800000000000001E-3</v>
      </c>
      <c r="E396" s="13">
        <f t="shared" si="8"/>
        <v>-2.6499999999999999E-4</v>
      </c>
    </row>
    <row r="397" spans="1:5" x14ac:dyDescent="0.2">
      <c r="A397" s="5">
        <v>43363</v>
      </c>
      <c r="B397" s="6">
        <v>2.9093446548942303E-3</v>
      </c>
      <c r="C397" s="8">
        <v>1.843500820775168E-3</v>
      </c>
      <c r="D397" s="7">
        <v>-3.1900000000000001E-3</v>
      </c>
      <c r="E397" s="13">
        <f t="shared" si="8"/>
        <v>-2.6583333333333331E-4</v>
      </c>
    </row>
    <row r="398" spans="1:5" x14ac:dyDescent="0.2">
      <c r="A398" s="5">
        <v>43364</v>
      </c>
      <c r="B398" s="6">
        <v>6.9828197820742677E-3</v>
      </c>
      <c r="C398" s="8">
        <v>6.4701697638322158E-3</v>
      </c>
      <c r="D398" s="7">
        <v>-3.1900000000000001E-3</v>
      </c>
      <c r="E398" s="13">
        <f t="shared" si="8"/>
        <v>-2.6583333333333331E-4</v>
      </c>
    </row>
    <row r="399" spans="1:5" x14ac:dyDescent="0.2">
      <c r="A399" s="5">
        <v>43367</v>
      </c>
      <c r="B399" s="6">
        <v>-4.9659240041479702E-3</v>
      </c>
      <c r="C399" s="8">
        <v>-4.5041536075900073E-3</v>
      </c>
      <c r="D399" s="7">
        <v>-3.1900000000000001E-3</v>
      </c>
      <c r="E399" s="13">
        <f t="shared" si="8"/>
        <v>-2.6583333333333331E-4</v>
      </c>
    </row>
    <row r="400" spans="1:5" x14ac:dyDescent="0.2">
      <c r="A400" s="5">
        <v>43368</v>
      </c>
      <c r="B400" s="6">
        <v>1.8213515380183232E-3</v>
      </c>
      <c r="C400" s="8">
        <v>1.5907831761821764E-3</v>
      </c>
      <c r="D400" s="7">
        <v>-3.1900000000000001E-3</v>
      </c>
      <c r="E400" s="13">
        <f t="shared" si="8"/>
        <v>-2.6583333333333331E-4</v>
      </c>
    </row>
    <row r="401" spans="1:5" x14ac:dyDescent="0.2">
      <c r="A401" s="5">
        <v>43369</v>
      </c>
      <c r="B401" s="6">
        <v>1.1868320322032666E-3</v>
      </c>
      <c r="C401" s="8">
        <v>9.2452641979317858E-4</v>
      </c>
      <c r="D401" s="7">
        <v>-3.1900000000000001E-3</v>
      </c>
      <c r="E401" s="13">
        <f t="shared" si="8"/>
        <v>-2.6583333333333331E-4</v>
      </c>
    </row>
    <row r="402" spans="1:5" x14ac:dyDescent="0.2">
      <c r="A402" s="5">
        <v>43370</v>
      </c>
      <c r="B402" s="6">
        <v>3.0078154738131246E-3</v>
      </c>
      <c r="C402" s="8">
        <v>2.752302943669435E-3</v>
      </c>
      <c r="D402" s="7">
        <v>-3.1800000000000001E-3</v>
      </c>
      <c r="E402" s="13">
        <f t="shared" si="8"/>
        <v>-2.6499999999999999E-4</v>
      </c>
    </row>
    <row r="403" spans="1:5" x14ac:dyDescent="0.2">
      <c r="A403" s="5">
        <v>43371</v>
      </c>
      <c r="B403" s="6">
        <v>-4.6429865488886168E-3</v>
      </c>
      <c r="C403" s="8">
        <v>-4.1116349117330869E-3</v>
      </c>
      <c r="D403" s="7">
        <v>-3.1800000000000001E-3</v>
      </c>
      <c r="E403" s="13">
        <f t="shared" si="8"/>
        <v>-2.6499999999999999E-4</v>
      </c>
    </row>
    <row r="404" spans="1:5" x14ac:dyDescent="0.2">
      <c r="A404" s="5">
        <v>43374</v>
      </c>
      <c r="B404" s="6">
        <v>1.9228099819483813E-3</v>
      </c>
      <c r="C404" s="8">
        <v>1.9228099819483813E-3</v>
      </c>
      <c r="D404" s="7">
        <v>-3.1700000000000001E-3</v>
      </c>
      <c r="E404" s="13">
        <f t="shared" si="8"/>
        <v>-2.6416666666666667E-4</v>
      </c>
    </row>
    <row r="405" spans="1:5" x14ac:dyDescent="0.2">
      <c r="A405" s="5">
        <v>43375</v>
      </c>
      <c r="B405" s="6">
        <v>-3.7934158302334042E-3</v>
      </c>
      <c r="C405" s="8">
        <v>-3.7934158302334042E-3</v>
      </c>
      <c r="D405" s="7">
        <v>-3.1800000000000001E-3</v>
      </c>
      <c r="E405" s="13">
        <f t="shared" si="8"/>
        <v>-2.6499999999999999E-4</v>
      </c>
    </row>
    <row r="406" spans="1:5" x14ac:dyDescent="0.2">
      <c r="A406" s="5">
        <v>43376</v>
      </c>
      <c r="B406" s="6">
        <v>2.7663217257738459E-3</v>
      </c>
      <c r="C406" s="8">
        <v>2.7663217257738459E-3</v>
      </c>
      <c r="D406" s="7">
        <v>-3.1800000000000001E-3</v>
      </c>
      <c r="E406" s="13">
        <f t="shared" si="8"/>
        <v>-2.6499999999999999E-4</v>
      </c>
    </row>
    <row r="407" spans="1:5" x14ac:dyDescent="0.2">
      <c r="A407" s="5">
        <v>43377</v>
      </c>
      <c r="B407" s="6">
        <v>-8.2847193109827355E-3</v>
      </c>
      <c r="C407" s="8">
        <v>-8.2847193109827355E-3</v>
      </c>
      <c r="D407" s="7">
        <v>-3.1800000000000001E-3</v>
      </c>
      <c r="E407" s="13">
        <f t="shared" si="8"/>
        <v>-2.6499999999999999E-4</v>
      </c>
    </row>
    <row r="408" spans="1:5" x14ac:dyDescent="0.2">
      <c r="A408" s="5">
        <v>43378</v>
      </c>
      <c r="B408" s="6">
        <v>-7.748912794572238E-3</v>
      </c>
      <c r="C408" s="8">
        <v>-7.181701172234713E-3</v>
      </c>
      <c r="D408" s="7">
        <v>-3.1800000000000001E-3</v>
      </c>
      <c r="E408" s="13">
        <f t="shared" si="8"/>
        <v>-2.6499999999999999E-4</v>
      </c>
    </row>
    <row r="409" spans="1:5" x14ac:dyDescent="0.2">
      <c r="A409" s="5">
        <v>43381</v>
      </c>
      <c r="B409" s="6">
        <v>-8.5485265911798836E-3</v>
      </c>
      <c r="C409" s="8">
        <v>-7.6383006837482878E-3</v>
      </c>
      <c r="D409" s="7">
        <v>-3.1800000000000001E-3</v>
      </c>
      <c r="E409" s="13">
        <f t="shared" si="8"/>
        <v>-2.6499999999999999E-4</v>
      </c>
    </row>
    <row r="410" spans="1:5" x14ac:dyDescent="0.2">
      <c r="A410" s="5">
        <v>43382</v>
      </c>
      <c r="B410" s="6">
        <v>-1.2648654391367309E-4</v>
      </c>
      <c r="C410" s="8">
        <v>-1.382084293080524E-3</v>
      </c>
      <c r="D410" s="7">
        <v>-3.1800000000000001E-3</v>
      </c>
      <c r="E410" s="13">
        <f t="shared" si="8"/>
        <v>-2.6499999999999999E-4</v>
      </c>
    </row>
    <row r="411" spans="1:5" x14ac:dyDescent="0.2">
      <c r="A411" s="5">
        <v>43383</v>
      </c>
      <c r="B411" s="6">
        <v>-1.5375163050068141E-2</v>
      </c>
      <c r="C411" s="8">
        <v>-7.2943244144919664E-3</v>
      </c>
      <c r="D411" s="7">
        <v>-3.1800000000000001E-3</v>
      </c>
      <c r="E411" s="13">
        <f t="shared" si="8"/>
        <v>-2.6499999999999999E-4</v>
      </c>
    </row>
    <row r="412" spans="1:5" x14ac:dyDescent="0.2">
      <c r="A412" s="5">
        <v>43384</v>
      </c>
      <c r="B412" s="6">
        <v>-1.7389039342433965E-2</v>
      </c>
      <c r="C412" s="8">
        <v>-6.907616651456016E-3</v>
      </c>
      <c r="D412" s="7">
        <v>-3.1800000000000001E-3</v>
      </c>
      <c r="E412" s="13">
        <f t="shared" si="8"/>
        <v>-2.6499999999999999E-4</v>
      </c>
    </row>
    <row r="413" spans="1:5" x14ac:dyDescent="0.2">
      <c r="A413" s="5">
        <v>43385</v>
      </c>
      <c r="B413" s="6">
        <v>-9.6260382725166238E-4</v>
      </c>
      <c r="C413" s="8">
        <v>-2.8043723683814836E-3</v>
      </c>
      <c r="D413" s="7">
        <v>-3.1800000000000001E-3</v>
      </c>
      <c r="E413" s="13">
        <f t="shared" si="8"/>
        <v>-2.6499999999999999E-4</v>
      </c>
    </row>
    <row r="414" spans="1:5" x14ac:dyDescent="0.2">
      <c r="A414" s="5">
        <v>43388</v>
      </c>
      <c r="B414" s="6">
        <v>-2.2719481869970526E-3</v>
      </c>
      <c r="C414" s="8">
        <v>-9.8683934509367975E-4</v>
      </c>
      <c r="D414" s="7">
        <v>-3.1800000000000001E-3</v>
      </c>
      <c r="E414" s="13">
        <f t="shared" si="8"/>
        <v>-2.6499999999999999E-4</v>
      </c>
    </row>
    <row r="415" spans="1:5" x14ac:dyDescent="0.2">
      <c r="A415" s="5">
        <v>43389</v>
      </c>
      <c r="B415" s="6">
        <v>1.3040658483272738E-2</v>
      </c>
      <c r="C415" s="8">
        <v>-1.4597044463332369E-4</v>
      </c>
      <c r="D415" s="7">
        <v>-3.1800000000000001E-3</v>
      </c>
      <c r="E415" s="13">
        <f t="shared" si="8"/>
        <v>-2.6499999999999999E-4</v>
      </c>
    </row>
    <row r="416" spans="1:5" x14ac:dyDescent="0.2">
      <c r="A416" s="5">
        <v>43390</v>
      </c>
      <c r="B416" s="6">
        <v>-4.220028043673274E-4</v>
      </c>
      <c r="C416" s="8">
        <v>1.7935156191231146E-3</v>
      </c>
      <c r="D416" s="7">
        <v>-3.1800000000000001E-3</v>
      </c>
      <c r="E416" s="13">
        <f t="shared" si="8"/>
        <v>-2.6499999999999999E-4</v>
      </c>
    </row>
    <row r="417" spans="1:5" x14ac:dyDescent="0.2">
      <c r="A417" s="5">
        <v>43391</v>
      </c>
      <c r="B417" s="6">
        <v>-4.7331758197298734E-3</v>
      </c>
      <c r="C417" s="8">
        <v>2.3294349597204438E-3</v>
      </c>
      <c r="D417" s="7">
        <v>-3.1700000000000001E-3</v>
      </c>
      <c r="E417" s="13">
        <f t="shared" si="8"/>
        <v>-2.6416666666666667E-4</v>
      </c>
    </row>
    <row r="418" spans="1:5" x14ac:dyDescent="0.2">
      <c r="A418" s="5">
        <v>43392</v>
      </c>
      <c r="B418" s="6">
        <v>-2.9293521146818158E-3</v>
      </c>
      <c r="C418" s="8">
        <v>-2.4828587265901597E-3</v>
      </c>
      <c r="D418" s="7">
        <v>-3.1700000000000001E-3</v>
      </c>
      <c r="E418" s="13">
        <f t="shared" si="8"/>
        <v>-2.6416666666666667E-4</v>
      </c>
    </row>
    <row r="419" spans="1:5" x14ac:dyDescent="0.2">
      <c r="A419" s="5">
        <v>43395</v>
      </c>
      <c r="B419" s="6">
        <v>-2.5768873874670861E-3</v>
      </c>
      <c r="C419" s="8">
        <v>-2.7288394550837739E-3</v>
      </c>
      <c r="D419" s="7">
        <v>-3.1700000000000001E-3</v>
      </c>
      <c r="E419" s="13">
        <f t="shared" si="8"/>
        <v>-2.6416666666666667E-4</v>
      </c>
    </row>
    <row r="420" spans="1:5" x14ac:dyDescent="0.2">
      <c r="A420" s="5">
        <v>43396</v>
      </c>
      <c r="B420" s="6">
        <v>-1.4902022721427599E-2</v>
      </c>
      <c r="C420" s="8">
        <v>-7.5240283309765009E-3</v>
      </c>
      <c r="D420" s="7">
        <v>-3.1700000000000001E-3</v>
      </c>
      <c r="E420" s="13">
        <f t="shared" si="8"/>
        <v>-2.6416666666666667E-4</v>
      </c>
    </row>
    <row r="421" spans="1:5" x14ac:dyDescent="0.2">
      <c r="A421" s="5">
        <v>43397</v>
      </c>
      <c r="B421" s="6">
        <v>-4.69609833411333E-3</v>
      </c>
      <c r="C421" s="8">
        <v>1.1091479173141921E-3</v>
      </c>
      <c r="D421" s="7">
        <v>-3.1700000000000001E-3</v>
      </c>
      <c r="E421" s="13">
        <f t="shared" si="8"/>
        <v>-2.6416666666666667E-4</v>
      </c>
    </row>
    <row r="422" spans="1:5" x14ac:dyDescent="0.2">
      <c r="A422" s="5">
        <v>43398</v>
      </c>
      <c r="B422" s="6">
        <v>2.8853053227486658E-3</v>
      </c>
      <c r="C422" s="8">
        <v>-1.306088926525598E-3</v>
      </c>
      <c r="D422" s="7">
        <v>-3.1700000000000001E-3</v>
      </c>
      <c r="E422" s="13">
        <f t="shared" si="8"/>
        <v>-2.6416666666666667E-4</v>
      </c>
    </row>
    <row r="423" spans="1:5" x14ac:dyDescent="0.2">
      <c r="A423" s="5">
        <v>43399</v>
      </c>
      <c r="B423" s="6">
        <v>-1.0657746653734756E-2</v>
      </c>
      <c r="C423" s="8">
        <v>-3.7024689382777597E-3</v>
      </c>
      <c r="D423" s="7">
        <v>-3.1800000000000001E-3</v>
      </c>
      <c r="E423" s="13">
        <f t="shared" si="8"/>
        <v>-2.6499999999999999E-4</v>
      </c>
    </row>
    <row r="424" spans="1:5" x14ac:dyDescent="0.2">
      <c r="A424" s="5">
        <v>43402</v>
      </c>
      <c r="B424" s="6">
        <v>4.3108494964323452E-3</v>
      </c>
      <c r="C424" s="8">
        <v>1.1878719590779812E-3</v>
      </c>
      <c r="D424" s="7">
        <v>-3.1800000000000001E-3</v>
      </c>
      <c r="E424" s="13">
        <f t="shared" si="8"/>
        <v>-2.6499999999999999E-4</v>
      </c>
    </row>
    <row r="425" spans="1:5" x14ac:dyDescent="0.2">
      <c r="A425" s="5">
        <v>43403</v>
      </c>
      <c r="B425" s="6">
        <v>1.4828886872875202E-4</v>
      </c>
      <c r="C425" s="8">
        <v>-2.9207316284632586E-3</v>
      </c>
      <c r="D425" s="7">
        <v>-3.1800000000000001E-3</v>
      </c>
      <c r="E425" s="13">
        <f t="shared" si="8"/>
        <v>-2.6499999999999999E-4</v>
      </c>
    </row>
    <row r="426" spans="1:5" x14ac:dyDescent="0.2">
      <c r="A426" s="5">
        <v>43404</v>
      </c>
      <c r="B426" s="6">
        <v>1.6471117887788767E-2</v>
      </c>
      <c r="C426" s="8">
        <v>6.2140585210487733E-3</v>
      </c>
      <c r="D426" s="7">
        <v>-3.1800000000000001E-3</v>
      </c>
      <c r="E426" s="13">
        <f t="shared" si="8"/>
        <v>-2.6499999999999999E-4</v>
      </c>
    </row>
    <row r="427" spans="1:5" x14ac:dyDescent="0.2">
      <c r="A427" s="5">
        <v>43405</v>
      </c>
      <c r="B427" s="6">
        <v>2.3762080227265336E-3</v>
      </c>
      <c r="C427" s="8">
        <v>-6.3613414260879891E-4</v>
      </c>
      <c r="D427" s="7">
        <v>-3.1800000000000001E-3</v>
      </c>
      <c r="E427" s="13">
        <f t="shared" si="8"/>
        <v>-2.6499999999999999E-4</v>
      </c>
    </row>
    <row r="428" spans="1:5" x14ac:dyDescent="0.2">
      <c r="A428" s="5">
        <v>43406</v>
      </c>
      <c r="B428" s="6">
        <v>8.1231803513592826E-3</v>
      </c>
      <c r="C428" s="8">
        <v>3.9239023116254398E-3</v>
      </c>
      <c r="D428" s="7">
        <v>-3.1800000000000001E-3</v>
      </c>
      <c r="E428" s="13">
        <f t="shared" si="8"/>
        <v>-2.6499999999999999E-4</v>
      </c>
    </row>
    <row r="429" spans="1:5" x14ac:dyDescent="0.2">
      <c r="A429" s="5">
        <v>43409</v>
      </c>
      <c r="B429" s="6">
        <v>-2.4210962657855717E-3</v>
      </c>
      <c r="C429" s="8">
        <v>-1.8714459594962041E-3</v>
      </c>
      <c r="D429" s="7">
        <v>-3.1800000000000001E-3</v>
      </c>
      <c r="E429" s="13">
        <f t="shared" si="8"/>
        <v>-2.6499999999999999E-4</v>
      </c>
    </row>
    <row r="430" spans="1:5" x14ac:dyDescent="0.2">
      <c r="A430" s="5">
        <v>43410</v>
      </c>
      <c r="B430" s="6">
        <v>-5.2752255122889835E-4</v>
      </c>
      <c r="C430" s="8">
        <v>-5.4067564112585489E-4</v>
      </c>
      <c r="D430" s="7">
        <v>-3.1700000000000001E-3</v>
      </c>
      <c r="E430" s="13">
        <f t="shared" si="8"/>
        <v>-2.6416666666666667E-4</v>
      </c>
    </row>
    <row r="431" spans="1:5" x14ac:dyDescent="0.2">
      <c r="A431" s="5">
        <v>43411</v>
      </c>
      <c r="B431" s="6">
        <v>8.3376645366963764E-3</v>
      </c>
      <c r="C431" s="8">
        <v>1.2975995567996827E-3</v>
      </c>
      <c r="D431" s="7">
        <v>-3.1700000000000001E-3</v>
      </c>
      <c r="E431" s="13">
        <f t="shared" si="8"/>
        <v>-2.6416666666666667E-4</v>
      </c>
    </row>
    <row r="432" spans="1:5" x14ac:dyDescent="0.2">
      <c r="A432" s="5">
        <v>43412</v>
      </c>
      <c r="B432" s="6">
        <v>6.485898813768376E-4</v>
      </c>
      <c r="C432" s="8">
        <v>1.6123161409937188E-3</v>
      </c>
      <c r="D432" s="7">
        <v>-3.16E-3</v>
      </c>
      <c r="E432" s="13">
        <f t="shared" si="8"/>
        <v>-2.633333333333333E-4</v>
      </c>
    </row>
    <row r="433" spans="1:5" x14ac:dyDescent="0.2">
      <c r="A433" s="5">
        <v>43413</v>
      </c>
      <c r="B433" s="6">
        <v>-5.8836154589104739E-3</v>
      </c>
      <c r="C433" s="8">
        <v>-2.2493166359632143E-3</v>
      </c>
      <c r="D433" s="7">
        <v>-3.16E-3</v>
      </c>
      <c r="E433" s="13">
        <f t="shared" si="8"/>
        <v>-2.633333333333333E-4</v>
      </c>
    </row>
    <row r="434" spans="1:5" x14ac:dyDescent="0.2">
      <c r="A434" s="5">
        <v>43416</v>
      </c>
      <c r="B434" s="6">
        <v>-7.9462438903835642E-3</v>
      </c>
      <c r="C434" s="8">
        <v>-1.4805846287343338E-3</v>
      </c>
      <c r="D434" s="7">
        <v>-3.16E-3</v>
      </c>
      <c r="E434" s="13">
        <f t="shared" si="8"/>
        <v>-2.633333333333333E-4</v>
      </c>
    </row>
    <row r="435" spans="1:5" x14ac:dyDescent="0.2">
      <c r="A435" s="5">
        <v>43417</v>
      </c>
      <c r="B435" s="6">
        <v>2.3009985757198592E-3</v>
      </c>
      <c r="C435" s="8">
        <v>-1.8833130360979252E-3</v>
      </c>
      <c r="D435" s="7">
        <v>-3.16E-3</v>
      </c>
      <c r="E435" s="13">
        <f t="shared" si="8"/>
        <v>-2.633333333333333E-4</v>
      </c>
    </row>
    <row r="436" spans="1:5" x14ac:dyDescent="0.2">
      <c r="A436" s="5">
        <v>43418</v>
      </c>
      <c r="B436" s="6">
        <v>-3.5583209459258969E-3</v>
      </c>
      <c r="C436" s="8">
        <v>6.9362737026214E-4</v>
      </c>
      <c r="D436" s="7">
        <v>-3.16E-3</v>
      </c>
      <c r="E436" s="13">
        <f t="shared" si="8"/>
        <v>-2.633333333333333E-4</v>
      </c>
    </row>
    <row r="437" spans="1:5" x14ac:dyDescent="0.2">
      <c r="A437" s="5">
        <v>43419</v>
      </c>
      <c r="B437" s="6">
        <v>-3.6106424456330277E-3</v>
      </c>
      <c r="C437" s="8">
        <v>-2.6822781931239784E-3</v>
      </c>
      <c r="D437" s="7">
        <v>-3.16E-3</v>
      </c>
      <c r="E437" s="13">
        <f t="shared" si="8"/>
        <v>-2.633333333333333E-4</v>
      </c>
    </row>
    <row r="438" spans="1:5" x14ac:dyDescent="0.2">
      <c r="A438" s="5">
        <v>43420</v>
      </c>
      <c r="B438" s="6">
        <v>-2.1085763316163186E-3</v>
      </c>
      <c r="C438" s="8">
        <v>-1.1225097909349205E-3</v>
      </c>
      <c r="D438" s="7">
        <v>-3.16E-3</v>
      </c>
      <c r="E438" s="13">
        <f t="shared" si="8"/>
        <v>-2.633333333333333E-4</v>
      </c>
    </row>
    <row r="439" spans="1:5" x14ac:dyDescent="0.2">
      <c r="A439" s="5">
        <v>43423</v>
      </c>
      <c r="B439" s="6">
        <v>-6.3802159937689229E-3</v>
      </c>
      <c r="C439" s="8">
        <v>-1.4489319121311836E-4</v>
      </c>
      <c r="D439" s="7">
        <v>-3.16E-3</v>
      </c>
      <c r="E439" s="13">
        <f t="shared" si="8"/>
        <v>-2.633333333333333E-4</v>
      </c>
    </row>
    <row r="440" spans="1:5" x14ac:dyDescent="0.2">
      <c r="A440" s="5">
        <v>43424</v>
      </c>
      <c r="B440" s="6">
        <v>-1.2642233578701423E-2</v>
      </c>
      <c r="C440" s="8">
        <v>-3.3586299172881969E-3</v>
      </c>
      <c r="D440" s="7">
        <v>-3.16E-3</v>
      </c>
      <c r="E440" s="13">
        <f t="shared" si="8"/>
        <v>-2.633333333333333E-4</v>
      </c>
    </row>
    <row r="441" spans="1:5" x14ac:dyDescent="0.2">
      <c r="A441" s="5">
        <v>43425</v>
      </c>
      <c r="B441" s="6">
        <v>6.9225579845797469E-3</v>
      </c>
      <c r="C441" s="8">
        <v>-6.5915094625441147E-4</v>
      </c>
      <c r="D441" s="7">
        <v>-3.16E-3</v>
      </c>
      <c r="E441" s="13">
        <f t="shared" si="8"/>
        <v>-2.633333333333333E-4</v>
      </c>
    </row>
    <row r="442" spans="1:5" x14ac:dyDescent="0.2">
      <c r="A442" s="5">
        <v>43426</v>
      </c>
      <c r="B442" s="6">
        <v>-2.7856476839367428E-3</v>
      </c>
      <c r="C442" s="8">
        <v>5.6342741643319958E-4</v>
      </c>
      <c r="D442" s="7">
        <v>-3.16E-3</v>
      </c>
      <c r="E442" s="13">
        <f t="shared" si="8"/>
        <v>-2.633333333333333E-4</v>
      </c>
    </row>
    <row r="443" spans="1:5" x14ac:dyDescent="0.2">
      <c r="A443" s="5">
        <v>43427</v>
      </c>
      <c r="B443" s="6">
        <v>-6.6440899781827767E-4</v>
      </c>
      <c r="C443" s="8">
        <v>-1.0640755502096611E-3</v>
      </c>
      <c r="D443" s="7">
        <v>-3.16E-3</v>
      </c>
      <c r="E443" s="13">
        <f t="shared" si="8"/>
        <v>-2.633333333333333E-4</v>
      </c>
    </row>
    <row r="444" spans="1:5" x14ac:dyDescent="0.2">
      <c r="A444" s="5">
        <v>43430</v>
      </c>
      <c r="B444" s="6">
        <v>9.5308919630607836E-3</v>
      </c>
      <c r="C444" s="8">
        <v>-4.4068259019142478E-5</v>
      </c>
      <c r="D444" s="7">
        <v>-3.16E-3</v>
      </c>
      <c r="E444" s="13">
        <f t="shared" si="8"/>
        <v>-2.633333333333333E-4</v>
      </c>
    </row>
    <row r="445" spans="1:5" x14ac:dyDescent="0.2">
      <c r="A445" s="5">
        <v>43431</v>
      </c>
      <c r="B445" s="6">
        <v>1.8579633212323365E-4</v>
      </c>
      <c r="C445" s="8">
        <v>-2.1943272568133201E-4</v>
      </c>
      <c r="D445" s="7">
        <v>-3.16E-3</v>
      </c>
      <c r="E445" s="13">
        <f t="shared" si="8"/>
        <v>-2.633333333333333E-4</v>
      </c>
    </row>
    <row r="446" spans="1:5" x14ac:dyDescent="0.2">
      <c r="A446" s="5">
        <v>43432</v>
      </c>
      <c r="B446" s="6">
        <v>4.0580446321678565E-3</v>
      </c>
      <c r="C446" s="8">
        <v>-9.6657156157127066E-4</v>
      </c>
      <c r="D446" s="7">
        <v>-3.16E-3</v>
      </c>
      <c r="E446" s="13">
        <f t="shared" si="8"/>
        <v>-2.633333333333333E-4</v>
      </c>
    </row>
    <row r="447" spans="1:5" x14ac:dyDescent="0.2">
      <c r="A447" s="5">
        <v>43433</v>
      </c>
      <c r="B447" s="6">
        <v>7.2771349592293255E-4</v>
      </c>
      <c r="C447" s="8">
        <v>1.4136395886666896E-3</v>
      </c>
      <c r="D447" s="7">
        <v>-3.16E-3</v>
      </c>
      <c r="E447" s="13">
        <f t="shared" si="8"/>
        <v>-2.633333333333333E-4</v>
      </c>
    </row>
    <row r="448" spans="1:5" x14ac:dyDescent="0.2">
      <c r="A448" s="5">
        <v>43434</v>
      </c>
      <c r="B448" s="6">
        <v>1.7971259685243268E-3</v>
      </c>
      <c r="C448" s="8">
        <v>2.1967314359643249E-3</v>
      </c>
      <c r="D448" s="7">
        <v>-3.16E-3</v>
      </c>
      <c r="E448" s="13">
        <f t="shared" si="8"/>
        <v>-2.633333333333333E-4</v>
      </c>
    </row>
    <row r="449" spans="1:5" x14ac:dyDescent="0.2">
      <c r="A449" s="5">
        <v>43437</v>
      </c>
      <c r="B449" s="6">
        <v>9.1910709391986867E-3</v>
      </c>
      <c r="C449" s="8">
        <v>-1.2170284272214806E-3</v>
      </c>
      <c r="D449" s="7">
        <v>-3.16E-3</v>
      </c>
      <c r="E449" s="13">
        <f t="shared" si="8"/>
        <v>-2.633333333333333E-4</v>
      </c>
    </row>
    <row r="450" spans="1:5" x14ac:dyDescent="0.2">
      <c r="A450" s="5">
        <v>43438</v>
      </c>
      <c r="B450" s="6">
        <v>-9.294994123211664E-3</v>
      </c>
      <c r="C450" s="8">
        <v>5.5772537539343185E-4</v>
      </c>
      <c r="D450" s="7">
        <v>-3.16E-3</v>
      </c>
      <c r="E450" s="13">
        <f t="shared" si="8"/>
        <v>-2.633333333333333E-4</v>
      </c>
    </row>
    <row r="451" spans="1:5" x14ac:dyDescent="0.2">
      <c r="A451" s="5">
        <v>43439</v>
      </c>
      <c r="B451" s="6">
        <v>-7.341169691651217E-3</v>
      </c>
      <c r="C451" s="8">
        <v>-1.4268094704116118E-3</v>
      </c>
      <c r="D451" s="7">
        <v>-3.16E-3</v>
      </c>
      <c r="E451" s="13">
        <f t="shared" ref="E451:E454" si="9">D451*(1/12)</f>
        <v>-2.633333333333333E-4</v>
      </c>
    </row>
    <row r="452" spans="1:5" x14ac:dyDescent="0.2">
      <c r="A452" s="5">
        <v>43440</v>
      </c>
      <c r="B452" s="6">
        <v>-2.2083603125078954E-2</v>
      </c>
      <c r="C452" s="8">
        <v>-2.3057112753054748E-3</v>
      </c>
      <c r="D452" s="7">
        <v>-3.15E-3</v>
      </c>
      <c r="E452" s="13">
        <f t="shared" si="9"/>
        <v>-2.6249999999999998E-4</v>
      </c>
    </row>
    <row r="453" spans="1:5" x14ac:dyDescent="0.2">
      <c r="A453" s="5">
        <v>43441</v>
      </c>
      <c r="B453" s="6">
        <v>-3.5804514460426873E-3</v>
      </c>
      <c r="C453" s="8">
        <v>-4.4320982538398977E-3</v>
      </c>
      <c r="D453" s="7">
        <v>-3.15E-3</v>
      </c>
      <c r="E453" s="13">
        <f t="shared" si="9"/>
        <v>-2.6249999999999998E-4</v>
      </c>
    </row>
    <row r="454" spans="1:5" x14ac:dyDescent="0.2">
      <c r="A454" s="5">
        <v>43444</v>
      </c>
      <c r="B454" s="6">
        <v>-7.6440613881699759E-3</v>
      </c>
      <c r="C454" s="8">
        <v>4.0666654157088256E-3</v>
      </c>
      <c r="D454" s="7">
        <v>-3.15E-3</v>
      </c>
      <c r="E454" s="13">
        <f t="shared" si="9"/>
        <v>-2.6249999999999998E-4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dP">
                <anchor moveWithCells="1" sizeWithCells="1">
                  <from>
                    <xdr:col>21</xdr:col>
                    <xdr:colOff>526211</xdr:colOff>
                    <xdr:row>0</xdr:row>
                    <xdr:rowOff>172528</xdr:rowOff>
                  </from>
                  <to>
                    <xdr:col>23</xdr:col>
                    <xdr:colOff>276045</xdr:colOff>
                    <xdr:row>3</xdr:row>
                    <xdr:rowOff>25879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ortfolio.Portfolio">
                <anchor moveWithCells="1" sizeWithCells="1">
                  <from>
                    <xdr:col>23</xdr:col>
                    <xdr:colOff>422694</xdr:colOff>
                    <xdr:row>0</xdr:row>
                    <xdr:rowOff>155275</xdr:rowOff>
                  </from>
                  <to>
                    <xdr:col>25</xdr:col>
                    <xdr:colOff>163902</xdr:colOff>
                    <xdr:row>3</xdr:row>
                    <xdr:rowOff>17253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Russell Investments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Lee</dc:creator>
  <cp:lastModifiedBy>Lee, Jason</cp:lastModifiedBy>
  <dcterms:created xsi:type="dcterms:W3CDTF">2010-07-29T17:54:19Z</dcterms:created>
  <dcterms:modified xsi:type="dcterms:W3CDTF">2021-04-03T10:14:52Z</dcterms:modified>
</cp:coreProperties>
</file>